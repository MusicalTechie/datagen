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ackup\Bugs\Boundary data\31188939\"/>
    </mc:Choice>
  </mc:AlternateContent>
  <bookViews>
    <workbookView xWindow="0" yWindow="0" windowWidth="24840" windowHeight="10280" tabRatio="634"/>
  </bookViews>
  <sheets>
    <sheet name="Instructions and CSV Generation" sheetId="5" r:id="rId1"/>
    <sheet name="Calendar_" sheetId="14" r:id="rId2"/>
    <sheet name="CalendarShifts_" sheetId="15" r:id="rId3"/>
    <sheet name="CalendarException_" sheetId="17" r:id="rId4"/>
    <sheet name="CalendarWeekStartDay_" sheetId="18" r:id="rId5"/>
    <sheet name="CalendarWorkdayPatterns_" sheetId="19" r:id="rId6"/>
    <sheet name="CalendarPeriodStartDates_" sheetId="23" r:id="rId7"/>
  </sheets>
  <calcPr calcId="162913"/>
</workbook>
</file>

<file path=xl/calcChain.xml><?xml version="1.0" encoding="utf-8"?>
<calcChain xmlns="http://schemas.openxmlformats.org/spreadsheetml/2006/main">
  <c r="D107" i="23" l="1"/>
  <c r="G107" i="23" s="1"/>
  <c r="H106" i="23"/>
  <c r="G106" i="23"/>
  <c r="D12" i="23"/>
  <c r="D13" i="23" s="1"/>
  <c r="H11" i="23"/>
  <c r="G11" i="23"/>
  <c r="D12" i="18"/>
  <c r="E12" i="18" s="1"/>
  <c r="F11" i="18"/>
  <c r="E11" i="18"/>
  <c r="F13" i="15"/>
  <c r="F12" i="15"/>
  <c r="E12" i="15"/>
  <c r="F11" i="15"/>
  <c r="E11" i="15"/>
  <c r="D108" i="23" l="1"/>
  <c r="H107" i="23"/>
  <c r="H13" i="23"/>
  <c r="D14" i="23"/>
  <c r="G13" i="23"/>
  <c r="H12" i="23"/>
  <c r="G12" i="23"/>
  <c r="F12" i="18"/>
  <c r="D13" i="18"/>
  <c r="H108" i="23" l="1"/>
  <c r="D109" i="23"/>
  <c r="G108" i="23"/>
  <c r="H14" i="23"/>
  <c r="D15" i="23"/>
  <c r="G14" i="23"/>
  <c r="D14" i="18"/>
  <c r="E13" i="18"/>
  <c r="F13" i="18"/>
  <c r="D110" i="23" l="1"/>
  <c r="G109" i="23"/>
  <c r="H109" i="23"/>
  <c r="G15" i="23"/>
  <c r="H15" i="23"/>
  <c r="D16" i="23"/>
  <c r="E14" i="18"/>
  <c r="D15" i="18"/>
  <c r="F14" i="18"/>
  <c r="G110" i="23" l="1"/>
  <c r="H110" i="23"/>
  <c r="D111" i="23"/>
  <c r="G16" i="23"/>
  <c r="H16" i="23"/>
  <c r="D17" i="23"/>
  <c r="E15" i="18"/>
  <c r="F15" i="18"/>
  <c r="D16" i="18"/>
  <c r="G111" i="23" l="1"/>
  <c r="H111" i="23"/>
  <c r="D112" i="23"/>
  <c r="G17" i="23"/>
  <c r="H17" i="23"/>
  <c r="D18" i="23"/>
  <c r="F16" i="18"/>
  <c r="D17" i="18"/>
  <c r="E16" i="18"/>
  <c r="H112" i="23" l="1"/>
  <c r="D113" i="23"/>
  <c r="G112" i="23"/>
  <c r="G18" i="23"/>
  <c r="D19" i="23"/>
  <c r="H18" i="23"/>
  <c r="D18" i="18"/>
  <c r="E17" i="18"/>
  <c r="F17" i="18"/>
  <c r="D114" i="23" l="1"/>
  <c r="G113" i="23"/>
  <c r="H113" i="23"/>
  <c r="D20" i="23"/>
  <c r="G19" i="23"/>
  <c r="H19" i="23"/>
  <c r="E18" i="18"/>
  <c r="F18" i="18"/>
  <c r="D19" i="18"/>
  <c r="G114" i="23" l="1"/>
  <c r="H114" i="23"/>
  <c r="D115" i="23"/>
  <c r="D21" i="23"/>
  <c r="G20" i="23"/>
  <c r="H20" i="23"/>
  <c r="E19" i="18"/>
  <c r="F19" i="18"/>
  <c r="D20" i="18"/>
  <c r="G115" i="23" l="1"/>
  <c r="H115" i="23"/>
  <c r="D116" i="23"/>
  <c r="H21" i="23"/>
  <c r="D22" i="23"/>
  <c r="G21" i="23"/>
  <c r="F20" i="18"/>
  <c r="D21" i="18"/>
  <c r="E20" i="18"/>
  <c r="H116" i="23" l="1"/>
  <c r="D117" i="23"/>
  <c r="G116" i="23"/>
  <c r="D23" i="23"/>
  <c r="G22" i="23"/>
  <c r="H22" i="23"/>
  <c r="D22" i="18"/>
  <c r="E21" i="18"/>
  <c r="F21" i="18"/>
  <c r="G117" i="23" l="1"/>
  <c r="H117" i="23"/>
  <c r="H23" i="23"/>
  <c r="D24" i="23"/>
  <c r="G23" i="23"/>
  <c r="E22" i="18"/>
  <c r="F22" i="18"/>
  <c r="D23" i="18"/>
  <c r="G24" i="23" l="1"/>
  <c r="H24" i="23"/>
  <c r="D25" i="23"/>
  <c r="E23" i="18"/>
  <c r="F23" i="18"/>
  <c r="D24" i="18"/>
  <c r="H25" i="23" l="1"/>
  <c r="D26" i="23"/>
  <c r="G25" i="23"/>
  <c r="F24" i="18"/>
  <c r="D25" i="18"/>
  <c r="E24" i="18"/>
  <c r="G26" i="23" l="1"/>
  <c r="D27" i="23"/>
  <c r="H26" i="23"/>
  <c r="D26" i="18"/>
  <c r="E25" i="18"/>
  <c r="F25" i="18"/>
  <c r="G27" i="23" l="1"/>
  <c r="H27" i="23"/>
  <c r="D28" i="23"/>
  <c r="E26" i="18"/>
  <c r="F26" i="18"/>
  <c r="D27" i="18"/>
  <c r="D29" i="23" l="1"/>
  <c r="G28" i="23"/>
  <c r="H28" i="23"/>
  <c r="E27" i="18"/>
  <c r="F27" i="18"/>
  <c r="D28" i="18"/>
  <c r="G29" i="23" l="1"/>
  <c r="H29" i="23"/>
  <c r="D30" i="23"/>
  <c r="F28" i="18"/>
  <c r="D29" i="18"/>
  <c r="E28" i="18"/>
  <c r="H30" i="23" l="1"/>
  <c r="D31" i="23"/>
  <c r="G30" i="23"/>
  <c r="D30" i="18"/>
  <c r="E29" i="18"/>
  <c r="F29" i="18"/>
  <c r="H31" i="23" l="1"/>
  <c r="G31" i="23"/>
  <c r="D32" i="23"/>
  <c r="E30" i="18"/>
  <c r="F30" i="18"/>
  <c r="D31" i="18"/>
  <c r="G32" i="23" l="1"/>
  <c r="H32" i="23"/>
  <c r="D33" i="23"/>
  <c r="E31" i="18"/>
  <c r="F31" i="18"/>
  <c r="D32" i="18"/>
  <c r="G33" i="23" l="1"/>
  <c r="H33" i="23"/>
  <c r="D34" i="23"/>
  <c r="F32" i="18"/>
  <c r="D33" i="18"/>
  <c r="E32" i="18"/>
  <c r="G34" i="23" l="1"/>
  <c r="D35" i="23"/>
  <c r="H34" i="23"/>
  <c r="D34" i="18"/>
  <c r="E33" i="18"/>
  <c r="F33" i="18"/>
  <c r="D36" i="23" l="1"/>
  <c r="G35" i="23"/>
  <c r="H35" i="23"/>
  <c r="E34" i="18"/>
  <c r="F34" i="18"/>
  <c r="D35" i="18"/>
  <c r="D37" i="23" l="1"/>
  <c r="G36" i="23"/>
  <c r="H36" i="23"/>
  <c r="E35" i="18"/>
  <c r="F35" i="18"/>
  <c r="D36" i="18"/>
  <c r="D38" i="23" l="1"/>
  <c r="H37" i="23"/>
  <c r="G37" i="23"/>
  <c r="F36" i="18"/>
  <c r="D37" i="18"/>
  <c r="E36" i="18"/>
  <c r="H38" i="23" l="1"/>
  <c r="D39" i="23"/>
  <c r="G38" i="23"/>
  <c r="D38" i="18"/>
  <c r="E37" i="18"/>
  <c r="F37" i="18"/>
  <c r="G39" i="23" l="1"/>
  <c r="H39" i="23"/>
  <c r="D40" i="23"/>
  <c r="E38" i="18"/>
  <c r="F38" i="18"/>
  <c r="D39" i="18"/>
  <c r="D41" i="23" l="1"/>
  <c r="G40" i="23"/>
  <c r="H40" i="23"/>
  <c r="E39" i="18"/>
  <c r="F39" i="18"/>
  <c r="D40" i="18"/>
  <c r="G41" i="23" l="1"/>
  <c r="H41" i="23"/>
  <c r="D42" i="23"/>
  <c r="F40" i="18"/>
  <c r="D41" i="18"/>
  <c r="E40" i="18"/>
  <c r="D43" i="23" l="1"/>
  <c r="G42" i="23"/>
  <c r="H42" i="23"/>
  <c r="D42" i="18"/>
  <c r="E41" i="18"/>
  <c r="F41" i="18"/>
  <c r="H43" i="23" l="1"/>
  <c r="D44" i="23"/>
  <c r="G43" i="23"/>
  <c r="E42" i="18"/>
  <c r="F42" i="18"/>
  <c r="D43" i="18"/>
  <c r="H44" i="23" l="1"/>
  <c r="G44" i="23"/>
  <c r="D45" i="23"/>
  <c r="E43" i="18"/>
  <c r="F43" i="18"/>
  <c r="D44" i="18"/>
  <c r="H45" i="23" l="1"/>
  <c r="D46" i="23"/>
  <c r="G45" i="23"/>
  <c r="F44" i="18"/>
  <c r="D45" i="18"/>
  <c r="E44" i="18"/>
  <c r="H46" i="23" l="1"/>
  <c r="D47" i="23"/>
  <c r="G46" i="23"/>
  <c r="D46" i="18"/>
  <c r="E45" i="18"/>
  <c r="F45" i="18"/>
  <c r="H47" i="23" l="1"/>
  <c r="G47" i="23"/>
  <c r="D48" i="23"/>
  <c r="E46" i="18"/>
  <c r="F46" i="18"/>
  <c r="D47" i="18"/>
  <c r="H48" i="23" l="1"/>
  <c r="G48" i="23"/>
  <c r="D49" i="23"/>
  <c r="E47" i="18"/>
  <c r="F47" i="18"/>
  <c r="D48" i="18"/>
  <c r="G49" i="23" l="1"/>
  <c r="H49" i="23"/>
  <c r="D50" i="23"/>
  <c r="F48" i="18"/>
  <c r="D49" i="18"/>
  <c r="E48" i="18"/>
  <c r="G50" i="23" l="1"/>
  <c r="D51" i="23"/>
  <c r="H50" i="23"/>
  <c r="D50" i="18"/>
  <c r="E49" i="18"/>
  <c r="F49" i="18"/>
  <c r="G51" i="23" l="1"/>
  <c r="D52" i="23"/>
  <c r="H51" i="23"/>
  <c r="E50" i="18"/>
  <c r="F50" i="18"/>
  <c r="D51" i="18"/>
  <c r="H52" i="23" l="1"/>
  <c r="D53" i="23"/>
  <c r="G52" i="23"/>
  <c r="E51" i="18"/>
  <c r="F51" i="18"/>
  <c r="D52" i="18"/>
  <c r="D54" i="23" l="1"/>
  <c r="H53" i="23"/>
  <c r="G53" i="23"/>
  <c r="F52" i="18"/>
  <c r="D53" i="18"/>
  <c r="E52" i="18"/>
  <c r="H54" i="23" l="1"/>
  <c r="D55" i="23"/>
  <c r="G54" i="23"/>
  <c r="D54" i="18"/>
  <c r="E53" i="18"/>
  <c r="F53" i="18"/>
  <c r="H55" i="23" l="1"/>
  <c r="G55" i="23"/>
  <c r="D56" i="23"/>
  <c r="E54" i="18"/>
  <c r="F54" i="18"/>
  <c r="D55" i="18"/>
  <c r="H56" i="23" l="1"/>
  <c r="G56" i="23"/>
  <c r="D57" i="23"/>
  <c r="E55" i="18"/>
  <c r="F55" i="18"/>
  <c r="D56" i="18"/>
  <c r="D58" i="23" l="1"/>
  <c r="G57" i="23"/>
  <c r="H57" i="23"/>
  <c r="F56" i="18"/>
  <c r="D57" i="18"/>
  <c r="E56" i="18"/>
  <c r="G58" i="23" l="1"/>
  <c r="D59" i="23"/>
  <c r="H58" i="23"/>
  <c r="D58" i="18"/>
  <c r="E57" i="18"/>
  <c r="F57" i="18"/>
  <c r="G59" i="23" l="1"/>
  <c r="H59" i="23"/>
  <c r="D60" i="23"/>
  <c r="E58" i="18"/>
  <c r="F58" i="18"/>
  <c r="D59" i="18"/>
  <c r="H60" i="23" l="1"/>
  <c r="G60" i="23"/>
  <c r="D61" i="23"/>
  <c r="E59" i="18"/>
  <c r="F59" i="18"/>
  <c r="D60" i="18"/>
  <c r="D62" i="23" l="1"/>
  <c r="H61" i="23"/>
  <c r="G61" i="23"/>
  <c r="F60" i="18"/>
  <c r="D61" i="18"/>
  <c r="E60" i="18"/>
  <c r="G62" i="23" l="1"/>
  <c r="D63" i="23"/>
  <c r="H62" i="23"/>
  <c r="D62" i="18"/>
  <c r="E61" i="18"/>
  <c r="F61" i="18"/>
  <c r="G63" i="23" l="1"/>
  <c r="D64" i="23"/>
  <c r="H63" i="23"/>
  <c r="E62" i="18"/>
  <c r="F62" i="18"/>
  <c r="D63" i="18"/>
  <c r="H64" i="23" l="1"/>
  <c r="D65" i="23"/>
  <c r="G64" i="23"/>
  <c r="E63" i="18"/>
  <c r="F63" i="18"/>
  <c r="D64" i="18"/>
  <c r="D66" i="23" l="1"/>
  <c r="H65" i="23"/>
  <c r="G65" i="23"/>
  <c r="F64" i="18"/>
  <c r="D65" i="18"/>
  <c r="E64" i="18"/>
  <c r="H66" i="23" l="1"/>
  <c r="D67" i="23"/>
  <c r="G66" i="23"/>
  <c r="D66" i="18"/>
  <c r="E65" i="18"/>
  <c r="F65" i="18"/>
  <c r="G67" i="23" l="1"/>
  <c r="H67" i="23"/>
  <c r="D68" i="23"/>
  <c r="E66" i="18"/>
  <c r="F66" i="18"/>
  <c r="D67" i="18"/>
  <c r="H68" i="23" l="1"/>
  <c r="G68" i="23"/>
  <c r="D69" i="23"/>
  <c r="E67" i="18"/>
  <c r="F67" i="18"/>
  <c r="D68" i="18"/>
  <c r="D70" i="23" l="1"/>
  <c r="H69" i="23"/>
  <c r="G69" i="23"/>
  <c r="F68" i="18"/>
  <c r="D69" i="18"/>
  <c r="E68" i="18"/>
  <c r="G70" i="23" l="1"/>
  <c r="H70" i="23"/>
  <c r="D71" i="23"/>
  <c r="D70" i="18"/>
  <c r="E69" i="18"/>
  <c r="F69" i="18"/>
  <c r="G71" i="23" l="1"/>
  <c r="H71" i="23"/>
  <c r="D72" i="23"/>
  <c r="E70" i="18"/>
  <c r="F70" i="18"/>
  <c r="D71" i="18"/>
  <c r="H72" i="23" l="1"/>
  <c r="G72" i="23"/>
  <c r="D73" i="23"/>
  <c r="E71" i="18"/>
  <c r="F71" i="18"/>
  <c r="D72" i="18"/>
  <c r="D74" i="23" l="1"/>
  <c r="H73" i="23"/>
  <c r="G73" i="23"/>
  <c r="F72" i="18"/>
  <c r="D73" i="18"/>
  <c r="E72" i="18"/>
  <c r="G74" i="23" l="1"/>
  <c r="H74" i="23"/>
  <c r="D75" i="23"/>
  <c r="D74" i="18"/>
  <c r="E73" i="18"/>
  <c r="F73" i="18"/>
  <c r="G75" i="23" l="1"/>
  <c r="H75" i="23"/>
  <c r="D76" i="23"/>
  <c r="E74" i="18"/>
  <c r="F74" i="18"/>
  <c r="D75" i="18"/>
  <c r="H76" i="23" l="1"/>
  <c r="D77" i="23"/>
  <c r="G76" i="23"/>
  <c r="E75" i="18"/>
  <c r="D76" i="18"/>
  <c r="F75" i="18"/>
  <c r="D78" i="23" l="1"/>
  <c r="G77" i="23"/>
  <c r="H77" i="23"/>
  <c r="F76" i="18"/>
  <c r="D77" i="18"/>
  <c r="E76" i="18"/>
  <c r="D79" i="23" l="1"/>
  <c r="G78" i="23"/>
  <c r="H78" i="23"/>
  <c r="D78" i="18"/>
  <c r="E77" i="18"/>
  <c r="F77" i="18"/>
  <c r="G79" i="23" l="1"/>
  <c r="H79" i="23"/>
  <c r="D80" i="23"/>
  <c r="E78" i="18"/>
  <c r="F78" i="18"/>
  <c r="D79" i="18"/>
  <c r="H80" i="23" l="1"/>
  <c r="G80" i="23"/>
  <c r="D81" i="23"/>
  <c r="E79" i="18"/>
  <c r="D80" i="18"/>
  <c r="F79" i="18"/>
  <c r="D82" i="23" l="1"/>
  <c r="H81" i="23"/>
  <c r="G81" i="23"/>
  <c r="F80" i="18"/>
  <c r="D81" i="18"/>
  <c r="E80" i="18"/>
  <c r="G82" i="23" l="1"/>
  <c r="D83" i="23"/>
  <c r="H82" i="23"/>
  <c r="D82" i="18"/>
  <c r="E81" i="18"/>
  <c r="F81" i="18"/>
  <c r="G83" i="23" l="1"/>
  <c r="H83" i="23"/>
  <c r="D84" i="23"/>
  <c r="F82" i="18"/>
  <c r="E82" i="18"/>
  <c r="D83" i="18"/>
  <c r="H84" i="23" l="1"/>
  <c r="D85" i="23"/>
  <c r="G84" i="23"/>
  <c r="E83" i="18"/>
  <c r="F83" i="18"/>
  <c r="D84" i="18"/>
  <c r="D86" i="23" l="1"/>
  <c r="G85" i="23"/>
  <c r="H85" i="23"/>
  <c r="F84" i="18"/>
  <c r="D85" i="18"/>
  <c r="E84" i="18"/>
  <c r="G86" i="23" l="1"/>
  <c r="D87" i="23"/>
  <c r="H86" i="23"/>
  <c r="D86" i="18"/>
  <c r="E85" i="18"/>
  <c r="F85" i="18"/>
  <c r="G87" i="23" l="1"/>
  <c r="H87" i="23"/>
  <c r="D88" i="23"/>
  <c r="E86" i="18"/>
  <c r="F86" i="18"/>
  <c r="D87" i="18"/>
  <c r="H88" i="23" l="1"/>
  <c r="G88" i="23"/>
  <c r="D89" i="23"/>
  <c r="E87" i="18"/>
  <c r="D88" i="18"/>
  <c r="F87" i="18"/>
  <c r="D90" i="23" l="1"/>
  <c r="H89" i="23"/>
  <c r="G89" i="23"/>
  <c r="F88" i="18"/>
  <c r="D89" i="18"/>
  <c r="E88" i="18"/>
  <c r="G90" i="23" l="1"/>
  <c r="D91" i="23"/>
  <c r="H90" i="23"/>
  <c r="D90" i="18"/>
  <c r="E89" i="18"/>
  <c r="F89" i="18"/>
  <c r="G91" i="23" l="1"/>
  <c r="H91" i="23"/>
  <c r="D92" i="23"/>
  <c r="F90" i="18"/>
  <c r="E90" i="18"/>
  <c r="D91" i="18"/>
  <c r="H92" i="23" l="1"/>
  <c r="D93" i="23"/>
  <c r="G92" i="23"/>
  <c r="E91" i="18"/>
  <c r="F91" i="18"/>
  <c r="D92" i="18"/>
  <c r="D94" i="23" l="1"/>
  <c r="H93" i="23"/>
  <c r="G93" i="23"/>
  <c r="F92" i="18"/>
  <c r="D93" i="18"/>
  <c r="E92" i="18"/>
  <c r="G94" i="23" l="1"/>
  <c r="D95" i="23"/>
  <c r="H94" i="23"/>
  <c r="D94" i="18"/>
  <c r="E93" i="18"/>
  <c r="F93" i="18"/>
  <c r="G95" i="23" l="1"/>
  <c r="H95" i="23"/>
  <c r="D96" i="23"/>
  <c r="E94" i="18"/>
  <c r="F94" i="18"/>
  <c r="D95" i="18"/>
  <c r="H96" i="23" l="1"/>
  <c r="D97" i="23"/>
  <c r="G96" i="23"/>
  <c r="E95" i="18"/>
  <c r="D96" i="18"/>
  <c r="F95" i="18"/>
  <c r="D98" i="23" l="1"/>
  <c r="H97" i="23"/>
  <c r="G97" i="23"/>
  <c r="F96" i="18"/>
  <c r="D97" i="18"/>
  <c r="E96" i="18"/>
  <c r="G98" i="23" l="1"/>
  <c r="D99" i="23"/>
  <c r="H98" i="23"/>
  <c r="D98" i="18"/>
  <c r="E97" i="18"/>
  <c r="F97" i="18"/>
  <c r="G99" i="23" l="1"/>
  <c r="H99" i="23"/>
  <c r="D100" i="23"/>
  <c r="F98" i="18"/>
  <c r="E98" i="18"/>
  <c r="D99" i="18"/>
  <c r="H100" i="23" l="1"/>
  <c r="D101" i="23"/>
  <c r="G100" i="23"/>
  <c r="E99" i="18"/>
  <c r="F99" i="18"/>
  <c r="D100" i="18"/>
  <c r="D102" i="23" l="1"/>
  <c r="H101" i="23"/>
  <c r="G101" i="23"/>
  <c r="F100" i="18"/>
  <c r="D101" i="18"/>
  <c r="E100" i="18"/>
  <c r="G102" i="23" l="1"/>
  <c r="D103" i="23"/>
  <c r="H102" i="23"/>
  <c r="D102" i="18"/>
  <c r="E101" i="18"/>
  <c r="F101" i="18"/>
  <c r="G103" i="23" l="1"/>
  <c r="H103" i="23"/>
  <c r="D104" i="23"/>
  <c r="F102" i="18"/>
  <c r="E102" i="18"/>
  <c r="D103" i="18"/>
  <c r="H104" i="23" l="1"/>
  <c r="G104" i="23"/>
  <c r="D105" i="23"/>
  <c r="E103" i="18"/>
  <c r="F103" i="18"/>
  <c r="D104" i="18"/>
  <c r="G105" i="23" l="1"/>
  <c r="H105" i="23"/>
  <c r="F104" i="18"/>
  <c r="D105" i="18"/>
  <c r="E104" i="18"/>
  <c r="D106" i="18" l="1"/>
  <c r="E105" i="18"/>
  <c r="F105" i="18"/>
  <c r="F106" i="18" l="1"/>
  <c r="E106" i="18"/>
  <c r="D107" i="18"/>
  <c r="E107" i="18" l="1"/>
  <c r="F107" i="18"/>
  <c r="D108" i="18"/>
  <c r="F108" i="18" l="1"/>
  <c r="D109" i="18"/>
  <c r="E108" i="18"/>
  <c r="D110" i="18" l="1"/>
  <c r="E109" i="18"/>
  <c r="F109" i="18"/>
  <c r="E110" i="18" l="1"/>
  <c r="F110" i="18"/>
  <c r="D111" i="18"/>
  <c r="E111" i="18" l="1"/>
  <c r="D112" i="18"/>
  <c r="F111" i="18"/>
  <c r="F112" i="18" l="1"/>
  <c r="D113" i="18"/>
  <c r="E112" i="18"/>
  <c r="D114" i="18" l="1"/>
  <c r="E113" i="18"/>
  <c r="F113" i="18"/>
  <c r="E114" i="18" l="1"/>
  <c r="F114" i="18"/>
  <c r="D115" i="18"/>
  <c r="E115" i="18" l="1"/>
  <c r="D116" i="18"/>
  <c r="F115" i="18"/>
  <c r="F116" i="18" l="1"/>
  <c r="D117" i="18"/>
  <c r="E116" i="18"/>
  <c r="D118" i="18" l="1"/>
  <c r="E117" i="18"/>
  <c r="F117" i="18"/>
  <c r="E118" i="18" l="1"/>
  <c r="F118" i="18"/>
  <c r="D119" i="18"/>
  <c r="E119" i="18" l="1"/>
  <c r="D120" i="18"/>
  <c r="F119" i="18"/>
  <c r="F120" i="18" l="1"/>
  <c r="D121" i="18"/>
  <c r="E120" i="18"/>
  <c r="D122" i="18" l="1"/>
  <c r="E121" i="18"/>
  <c r="F121" i="18"/>
  <c r="D123" i="18" l="1"/>
  <c r="F122" i="18"/>
  <c r="E122" i="18"/>
  <c r="F123" i="18" l="1"/>
  <c r="D124" i="18"/>
  <c r="E123" i="18"/>
  <c r="E124" i="18" l="1"/>
  <c r="F124" i="18"/>
  <c r="D125" i="18"/>
  <c r="F125" i="18" l="1"/>
  <c r="E125" i="18"/>
  <c r="D126" i="18"/>
  <c r="D127" i="18" l="1"/>
  <c r="E126" i="18"/>
  <c r="F126" i="18"/>
  <c r="E127" i="18" l="1"/>
  <c r="D128" i="18"/>
  <c r="F127" i="18"/>
  <c r="E128" i="18" l="1"/>
  <c r="D129" i="18"/>
  <c r="F128" i="18"/>
  <c r="F129" i="18" l="1"/>
  <c r="E129" i="18"/>
  <c r="D130" i="18"/>
  <c r="D131" i="18" l="1"/>
  <c r="F130" i="18"/>
  <c r="E130" i="18"/>
  <c r="F131" i="18" l="1"/>
  <c r="E131" i="18"/>
  <c r="D132" i="18"/>
  <c r="E132" i="18" l="1"/>
  <c r="F132" i="18"/>
  <c r="D133" i="18"/>
  <c r="F133" i="18" l="1"/>
  <c r="E133" i="18"/>
  <c r="D134" i="18"/>
  <c r="D135" i="18" l="1"/>
  <c r="E134" i="18"/>
  <c r="F134" i="18"/>
  <c r="D136" i="18" l="1"/>
  <c r="E135" i="18"/>
  <c r="F135" i="18"/>
  <c r="E136" i="18" l="1"/>
  <c r="F136" i="18"/>
  <c r="D137" i="18"/>
  <c r="F137" i="18" l="1"/>
  <c r="D138" i="18"/>
  <c r="E137" i="18"/>
  <c r="D139" i="18" l="1"/>
  <c r="E138" i="18"/>
  <c r="F138" i="18"/>
  <c r="F139" i="18" l="1"/>
  <c r="D140" i="18"/>
  <c r="E139" i="18"/>
  <c r="E140" i="18" l="1"/>
  <c r="F140" i="18"/>
  <c r="D141" i="18"/>
  <c r="F141" i="18" l="1"/>
  <c r="E141" i="18"/>
  <c r="D142" i="18"/>
  <c r="D143" i="18" l="1"/>
  <c r="E142" i="18"/>
  <c r="F142" i="18"/>
  <c r="E143" i="18" l="1"/>
  <c r="F143" i="18"/>
  <c r="D144" i="18"/>
  <c r="E144" i="18" l="1"/>
  <c r="D145" i="18"/>
  <c r="F144" i="18"/>
  <c r="F145" i="18" l="1"/>
  <c r="D146" i="18"/>
  <c r="E145" i="18"/>
  <c r="D147" i="18" l="1"/>
  <c r="F146" i="18"/>
  <c r="E146" i="18"/>
  <c r="E147" i="18" l="1"/>
  <c r="F147" i="18"/>
  <c r="D148" i="18"/>
  <c r="E148" i="18" l="1"/>
  <c r="F148" i="18"/>
  <c r="D149" i="18"/>
  <c r="F149" i="18" l="1"/>
  <c r="E149" i="18"/>
  <c r="D150" i="18"/>
  <c r="D151" i="18" l="1"/>
  <c r="E150" i="18"/>
  <c r="F150" i="18"/>
  <c r="D152" i="18" l="1"/>
  <c r="E151" i="18"/>
  <c r="F151" i="18"/>
  <c r="E152" i="18" l="1"/>
  <c r="F152" i="18"/>
  <c r="D153" i="18"/>
  <c r="F153" i="18" l="1"/>
  <c r="D154" i="18"/>
  <c r="E153" i="18"/>
  <c r="D155" i="18" l="1"/>
  <c r="F154" i="18"/>
  <c r="E154" i="18"/>
  <c r="F155" i="18" l="1"/>
  <c r="D156" i="18"/>
  <c r="E155" i="18"/>
  <c r="E156" i="18" l="1"/>
  <c r="F156" i="18"/>
  <c r="D157" i="18"/>
  <c r="F157" i="18" l="1"/>
  <c r="E157" i="18"/>
  <c r="D158" i="18"/>
  <c r="D159" i="18" l="1"/>
  <c r="E158" i="18"/>
  <c r="F158" i="18"/>
  <c r="E159" i="18" l="1"/>
  <c r="D160" i="18"/>
  <c r="F159" i="18"/>
  <c r="E160" i="18" l="1"/>
  <c r="D161" i="18"/>
  <c r="F160" i="18"/>
  <c r="F161" i="18" l="1"/>
  <c r="E161" i="18"/>
  <c r="D162" i="18"/>
  <c r="D163" i="18" l="1"/>
  <c r="F162" i="18"/>
  <c r="E162" i="18"/>
  <c r="E163" i="18" l="1"/>
  <c r="F163" i="18"/>
  <c r="D164" i="18"/>
  <c r="E164" i="18" l="1"/>
  <c r="F164" i="18"/>
  <c r="D165" i="18"/>
  <c r="F165" i="18" l="1"/>
  <c r="E165" i="18"/>
  <c r="D166" i="18"/>
  <c r="D167" i="18" l="1"/>
  <c r="E166" i="18"/>
  <c r="F166" i="18"/>
  <c r="D168" i="18" l="1"/>
  <c r="E167" i="18"/>
  <c r="F167" i="18"/>
  <c r="E168" i="18" l="1"/>
  <c r="F168" i="18"/>
  <c r="D169" i="18"/>
  <c r="F169" i="18" l="1"/>
  <c r="D170" i="18"/>
  <c r="E169" i="18"/>
  <c r="D171" i="18" l="1"/>
  <c r="E170" i="18"/>
  <c r="F170" i="18"/>
  <c r="F171" i="18" l="1"/>
  <c r="D172" i="18"/>
  <c r="E171" i="18"/>
  <c r="E172" i="18" l="1"/>
  <c r="F172" i="18"/>
  <c r="D173" i="18"/>
  <c r="F173" i="18" l="1"/>
  <c r="E173" i="18"/>
  <c r="D174" i="18"/>
  <c r="D175" i="18" l="1"/>
  <c r="E174" i="18"/>
  <c r="F174" i="18"/>
  <c r="E175" i="18" l="1"/>
  <c r="F175" i="18"/>
  <c r="D176" i="18"/>
  <c r="E176" i="18" l="1"/>
  <c r="D177" i="18"/>
  <c r="F176" i="18"/>
  <c r="F177" i="18" l="1"/>
  <c r="E177" i="18"/>
  <c r="D178" i="18"/>
  <c r="D179" i="18" l="1"/>
  <c r="F178" i="18"/>
  <c r="E178" i="18"/>
  <c r="F179" i="18" l="1"/>
  <c r="E179" i="18"/>
  <c r="D180" i="18"/>
  <c r="E180" i="18" l="1"/>
  <c r="F180" i="18"/>
  <c r="D181" i="18"/>
  <c r="F181" i="18" l="1"/>
  <c r="E181" i="18"/>
  <c r="D182" i="18"/>
  <c r="D183" i="18" l="1"/>
  <c r="E182" i="18"/>
  <c r="F182" i="18"/>
  <c r="D184" i="18" l="1"/>
  <c r="E183" i="18"/>
  <c r="F183" i="18"/>
  <c r="E184" i="18" l="1"/>
  <c r="F184" i="18"/>
  <c r="D185" i="18"/>
  <c r="F185" i="18" l="1"/>
  <c r="D186" i="18"/>
  <c r="E185" i="18"/>
  <c r="D187" i="18" l="1"/>
  <c r="E186" i="18"/>
  <c r="F186" i="18"/>
  <c r="F187" i="18" l="1"/>
  <c r="D188" i="18"/>
  <c r="E187" i="18"/>
  <c r="E188" i="18" l="1"/>
  <c r="F188" i="18"/>
  <c r="D189" i="18"/>
  <c r="F189" i="18" l="1"/>
  <c r="E189" i="18"/>
  <c r="D190" i="18"/>
  <c r="D191" i="18" l="1"/>
  <c r="E190" i="18"/>
  <c r="F190" i="18"/>
  <c r="E191" i="18" l="1"/>
  <c r="F191" i="18"/>
  <c r="D192" i="18"/>
  <c r="E192" i="18" l="1"/>
  <c r="D193" i="18"/>
  <c r="F192" i="18"/>
  <c r="F193" i="18" l="1"/>
  <c r="E193" i="18"/>
  <c r="D194" i="18"/>
  <c r="F194" i="18" l="1"/>
  <c r="D195" i="18"/>
  <c r="E194" i="18"/>
  <c r="D196" i="18" l="1"/>
  <c r="E195" i="18"/>
  <c r="F195" i="18"/>
  <c r="E196" i="18" l="1"/>
  <c r="F196" i="18"/>
  <c r="D197" i="18"/>
  <c r="E197" i="18" l="1"/>
  <c r="F197" i="18"/>
  <c r="D198" i="18"/>
  <c r="F198" i="18" l="1"/>
  <c r="D199" i="18"/>
  <c r="E198" i="18"/>
  <c r="D200" i="18" l="1"/>
  <c r="E199" i="18"/>
  <c r="F199" i="18"/>
  <c r="E200" i="18" l="1"/>
  <c r="F200" i="18"/>
  <c r="D201" i="18"/>
  <c r="E201" i="18" l="1"/>
  <c r="F201" i="18"/>
  <c r="D202" i="18"/>
  <c r="F202" i="18" l="1"/>
  <c r="D203" i="18"/>
  <c r="E202" i="18"/>
  <c r="D204" i="18" l="1"/>
  <c r="E203" i="18"/>
  <c r="F203" i="18"/>
  <c r="E204" i="18" l="1"/>
  <c r="F204" i="18"/>
  <c r="D205" i="18"/>
  <c r="E205" i="18" l="1"/>
  <c r="F205" i="18"/>
  <c r="D206" i="18"/>
  <c r="F206" i="18" l="1"/>
  <c r="D207" i="18"/>
  <c r="E206" i="18"/>
  <c r="D208" i="18" l="1"/>
  <c r="E207" i="18"/>
  <c r="F207" i="18"/>
  <c r="E208" i="18" l="1"/>
  <c r="F208" i="18"/>
  <c r="D209" i="18"/>
  <c r="E209" i="18" l="1"/>
  <c r="F209" i="18"/>
  <c r="D210" i="18"/>
  <c r="F210" i="18" l="1"/>
  <c r="D211" i="18"/>
  <c r="E210" i="18"/>
  <c r="D212" i="18" l="1"/>
  <c r="E211" i="18"/>
  <c r="F211" i="18"/>
  <c r="E212" i="18" l="1"/>
  <c r="F212" i="18"/>
  <c r="D213" i="18"/>
  <c r="E213" i="18" l="1"/>
  <c r="F213" i="18"/>
  <c r="D214" i="18"/>
  <c r="F214" i="18" l="1"/>
  <c r="D215" i="18"/>
  <c r="E214" i="18"/>
  <c r="D216" i="18" l="1"/>
  <c r="E215" i="18"/>
  <c r="F215" i="18"/>
  <c r="E216" i="18" l="1"/>
  <c r="F216" i="18"/>
  <c r="D217" i="18"/>
  <c r="E217" i="18" l="1"/>
  <c r="F217" i="18"/>
  <c r="D218" i="18"/>
  <c r="F218" i="18" l="1"/>
  <c r="D219" i="18"/>
  <c r="E218" i="18"/>
  <c r="D220" i="18" l="1"/>
  <c r="E219" i="18"/>
  <c r="F219" i="18"/>
  <c r="E220" i="18" l="1"/>
  <c r="F220" i="18"/>
  <c r="D221" i="18"/>
  <c r="E221" i="18" l="1"/>
  <c r="F221" i="18"/>
  <c r="D222" i="18"/>
  <c r="F222" i="18" l="1"/>
  <c r="D223" i="18"/>
  <c r="E222" i="18"/>
  <c r="D224" i="18" l="1"/>
  <c r="E223" i="18"/>
  <c r="F223" i="18"/>
  <c r="E224" i="18" l="1"/>
  <c r="F224" i="18"/>
  <c r="D225" i="18"/>
  <c r="E225" i="18" l="1"/>
  <c r="F225" i="18"/>
  <c r="D226" i="18"/>
  <c r="F226" i="18" l="1"/>
  <c r="D227" i="18"/>
  <c r="E226" i="18"/>
  <c r="D228" i="18" l="1"/>
  <c r="E227" i="18"/>
  <c r="F227" i="18"/>
  <c r="E228" i="18" l="1"/>
  <c r="F228" i="18"/>
  <c r="D229" i="18"/>
  <c r="E229" i="18" l="1"/>
  <c r="F229" i="18"/>
  <c r="D230" i="18"/>
  <c r="F230" i="18" l="1"/>
  <c r="D231" i="18"/>
  <c r="E230" i="18"/>
  <c r="D232" i="18" l="1"/>
  <c r="E231" i="18"/>
  <c r="F231" i="18"/>
  <c r="E232" i="18" l="1"/>
  <c r="F232" i="18"/>
  <c r="D233" i="18"/>
  <c r="E233" i="18" l="1"/>
  <c r="F233" i="18"/>
  <c r="D234" i="18"/>
  <c r="F234" i="18" l="1"/>
  <c r="D235" i="18"/>
  <c r="E234" i="18"/>
  <c r="D236" i="18" l="1"/>
  <c r="E235" i="18"/>
  <c r="F235" i="18"/>
  <c r="E236" i="18" l="1"/>
  <c r="F236" i="18"/>
  <c r="D237" i="18"/>
  <c r="E237" i="18" l="1"/>
  <c r="F237" i="18"/>
  <c r="D238" i="18"/>
  <c r="F238" i="18" l="1"/>
  <c r="D239" i="18"/>
  <c r="E238" i="18"/>
  <c r="D240" i="18" l="1"/>
  <c r="E239" i="18"/>
  <c r="F239" i="18"/>
  <c r="E240" i="18" l="1"/>
  <c r="F240" i="18"/>
  <c r="D241" i="18"/>
  <c r="E241" i="18" l="1"/>
  <c r="F241" i="18"/>
  <c r="D242" i="18"/>
  <c r="F242" i="18" l="1"/>
  <c r="D243" i="18"/>
  <c r="E242" i="18"/>
  <c r="D244" i="18" l="1"/>
  <c r="E243" i="18"/>
  <c r="F243" i="18"/>
  <c r="E244" i="18" l="1"/>
  <c r="F244" i="18"/>
  <c r="D245" i="18"/>
  <c r="E245" i="18" l="1"/>
  <c r="F245" i="18"/>
  <c r="D246" i="18"/>
  <c r="F246" i="18" l="1"/>
  <c r="D247" i="18"/>
  <c r="E246" i="18"/>
  <c r="D248" i="18" l="1"/>
  <c r="E247" i="18"/>
  <c r="F247" i="18"/>
  <c r="E248" i="18" l="1"/>
  <c r="F248" i="18"/>
  <c r="D249" i="18"/>
  <c r="E249" i="18" l="1"/>
  <c r="F249" i="18"/>
  <c r="D250" i="18"/>
  <c r="F250" i="18" l="1"/>
  <c r="D251" i="18"/>
  <c r="E250" i="18"/>
  <c r="D252" i="18" l="1"/>
  <c r="E251" i="18"/>
  <c r="F251" i="18"/>
  <c r="E252" i="18" l="1"/>
  <c r="F252" i="18"/>
  <c r="D253" i="18"/>
  <c r="E253" i="18" l="1"/>
  <c r="F253" i="18"/>
  <c r="D254" i="18"/>
  <c r="F254" i="18" l="1"/>
  <c r="D255" i="18"/>
  <c r="E254" i="18"/>
  <c r="D256" i="18" l="1"/>
  <c r="E255" i="18"/>
  <c r="F255" i="18"/>
  <c r="E256" i="18" l="1"/>
  <c r="F256" i="18"/>
  <c r="D257" i="18"/>
  <c r="E257" i="18" l="1"/>
  <c r="F257" i="18"/>
  <c r="D258" i="18"/>
  <c r="F258" i="18" l="1"/>
  <c r="D259" i="18"/>
  <c r="E258" i="18"/>
  <c r="D260" i="18" l="1"/>
  <c r="E259" i="18"/>
  <c r="F259" i="18"/>
  <c r="E260" i="18" l="1"/>
  <c r="F260" i="18"/>
  <c r="D261" i="18"/>
  <c r="E261" i="18" l="1"/>
  <c r="F261" i="18"/>
  <c r="D262" i="18"/>
  <c r="F262" i="18" l="1"/>
  <c r="D263" i="18"/>
  <c r="E262" i="18"/>
  <c r="D264" i="18" l="1"/>
  <c r="E263" i="18"/>
  <c r="F263" i="18"/>
  <c r="E264" i="18" l="1"/>
  <c r="F264" i="18"/>
  <c r="D265" i="18"/>
  <c r="E265" i="18" l="1"/>
  <c r="F265" i="18"/>
  <c r="D266" i="18"/>
  <c r="F266" i="18" l="1"/>
  <c r="D267" i="18"/>
  <c r="E266" i="18"/>
  <c r="D268" i="18" l="1"/>
  <c r="E267" i="18"/>
  <c r="F267" i="18"/>
  <c r="E268" i="18" l="1"/>
  <c r="F268" i="18"/>
  <c r="D269" i="18"/>
  <c r="E269" i="18" l="1"/>
  <c r="F269" i="18"/>
  <c r="D270" i="18"/>
  <c r="F270" i="18" l="1"/>
  <c r="D271" i="18"/>
  <c r="E270" i="18"/>
  <c r="D272" i="18" l="1"/>
  <c r="E271" i="18"/>
  <c r="F271" i="18"/>
  <c r="E272" i="18" l="1"/>
  <c r="F272" i="18"/>
  <c r="D273" i="18"/>
  <c r="E273" i="18" l="1"/>
  <c r="F273" i="18"/>
  <c r="D274" i="18"/>
  <c r="F274" i="18" l="1"/>
  <c r="D275" i="18"/>
  <c r="E274" i="18"/>
  <c r="D276" i="18" l="1"/>
  <c r="E275" i="18"/>
  <c r="F275" i="18"/>
  <c r="E276" i="18" l="1"/>
  <c r="F276" i="18"/>
  <c r="D277" i="18"/>
  <c r="E277" i="18" l="1"/>
  <c r="F277" i="18"/>
  <c r="D278" i="18"/>
  <c r="F278" i="18" l="1"/>
  <c r="D279" i="18"/>
  <c r="E278" i="18"/>
  <c r="D280" i="18" l="1"/>
  <c r="E279" i="18"/>
  <c r="F279" i="18"/>
  <c r="E280" i="18" l="1"/>
  <c r="F280" i="18"/>
  <c r="D281" i="18"/>
  <c r="E281" i="18" l="1"/>
  <c r="F281" i="18"/>
  <c r="D282" i="18"/>
  <c r="F282" i="18" l="1"/>
  <c r="D283" i="18"/>
  <c r="E282" i="18"/>
  <c r="D284" i="18" l="1"/>
  <c r="E283" i="18"/>
  <c r="F283" i="18"/>
  <c r="E284" i="18" l="1"/>
  <c r="F284" i="18"/>
  <c r="D285" i="18"/>
  <c r="E285" i="18" l="1"/>
  <c r="F285" i="18"/>
  <c r="D286" i="18"/>
  <c r="F286" i="18" l="1"/>
  <c r="D287" i="18"/>
  <c r="E286" i="18"/>
  <c r="D288" i="18" l="1"/>
  <c r="E287" i="18"/>
  <c r="F287" i="18"/>
  <c r="E288" i="18" l="1"/>
  <c r="F288" i="18"/>
  <c r="D289" i="18"/>
  <c r="E289" i="18" l="1"/>
  <c r="F289" i="18"/>
  <c r="D290" i="18"/>
  <c r="F290" i="18" l="1"/>
  <c r="D291" i="18"/>
  <c r="E290" i="18"/>
  <c r="D292" i="18" l="1"/>
  <c r="E291" i="18"/>
  <c r="F291" i="18"/>
  <c r="E292" i="18" l="1"/>
  <c r="F292" i="18"/>
  <c r="D293" i="18"/>
  <c r="E293" i="18" l="1"/>
  <c r="F293" i="18"/>
  <c r="D294" i="18"/>
  <c r="F294" i="18" l="1"/>
  <c r="D295" i="18"/>
  <c r="E294" i="18"/>
  <c r="D296" i="18" l="1"/>
  <c r="E295" i="18"/>
  <c r="F295" i="18"/>
  <c r="E296" i="18" l="1"/>
  <c r="F296" i="18"/>
  <c r="D297" i="18"/>
  <c r="E297" i="18" l="1"/>
  <c r="F297" i="18"/>
  <c r="D298" i="18"/>
  <c r="F298" i="18" l="1"/>
  <c r="D299" i="18"/>
  <c r="E298" i="18"/>
  <c r="D300" i="18" l="1"/>
  <c r="E299" i="18"/>
  <c r="F299" i="18"/>
  <c r="E300" i="18" l="1"/>
  <c r="F300" i="18"/>
  <c r="D301" i="18"/>
  <c r="E301" i="18" l="1"/>
  <c r="F301" i="18"/>
  <c r="D302" i="18"/>
  <c r="F302" i="18" l="1"/>
  <c r="D303" i="18"/>
  <c r="E302" i="18"/>
  <c r="D304" i="18" l="1"/>
  <c r="E303" i="18"/>
  <c r="F303" i="18"/>
  <c r="E304" i="18" l="1"/>
  <c r="F304" i="18"/>
  <c r="D305" i="18"/>
  <c r="E305" i="18" l="1"/>
  <c r="F305" i="18"/>
  <c r="D306" i="18"/>
  <c r="F306" i="18" l="1"/>
  <c r="D307" i="18"/>
  <c r="E306" i="18"/>
  <c r="D308" i="18" l="1"/>
  <c r="E307" i="18"/>
  <c r="F307" i="18"/>
  <c r="E308" i="18" l="1"/>
  <c r="F308" i="18"/>
  <c r="D309" i="18"/>
  <c r="E309" i="18" l="1"/>
  <c r="F309" i="18"/>
  <c r="D310" i="18"/>
  <c r="F310" i="18" l="1"/>
  <c r="D311" i="18"/>
  <c r="E310" i="18"/>
  <c r="D312" i="18" l="1"/>
  <c r="E311" i="18"/>
  <c r="F311" i="18"/>
  <c r="E312" i="18" l="1"/>
  <c r="F312" i="18"/>
  <c r="D313" i="18"/>
  <c r="E313" i="18" l="1"/>
  <c r="F313" i="18"/>
  <c r="D314" i="18"/>
  <c r="F314" i="18" l="1"/>
  <c r="D315" i="18"/>
  <c r="E314" i="18"/>
  <c r="D316" i="18" l="1"/>
  <c r="E315" i="18"/>
  <c r="F315" i="18"/>
  <c r="E316" i="18" l="1"/>
  <c r="F316" i="18"/>
  <c r="D317" i="18"/>
  <c r="E317" i="18" l="1"/>
  <c r="F317" i="18"/>
  <c r="D318" i="18"/>
  <c r="F318" i="18" l="1"/>
  <c r="D319" i="18"/>
  <c r="E318" i="18"/>
  <c r="D320" i="18" l="1"/>
  <c r="E319" i="18"/>
  <c r="F319" i="18"/>
  <c r="E320" i="18" l="1"/>
  <c r="F320" i="18"/>
  <c r="D321" i="18"/>
  <c r="E321" i="18" l="1"/>
  <c r="F321" i="18"/>
  <c r="D322" i="18"/>
  <c r="F322" i="18" l="1"/>
  <c r="D323" i="18"/>
  <c r="E322" i="18"/>
  <c r="D324" i="18" l="1"/>
  <c r="E323" i="18"/>
  <c r="F323" i="18"/>
  <c r="E324" i="18" l="1"/>
  <c r="F324" i="18"/>
  <c r="D325" i="18"/>
  <c r="E325" i="18" l="1"/>
  <c r="F325" i="18"/>
  <c r="D326" i="18"/>
  <c r="F326" i="18" l="1"/>
  <c r="D327" i="18"/>
  <c r="E326" i="18"/>
  <c r="D328" i="18" l="1"/>
  <c r="E327" i="18"/>
  <c r="F327" i="18"/>
  <c r="E328" i="18" l="1"/>
  <c r="F328" i="18"/>
  <c r="D329" i="18"/>
  <c r="E329" i="18" l="1"/>
  <c r="F329" i="18"/>
  <c r="D330" i="18"/>
  <c r="F330" i="18" l="1"/>
  <c r="D331" i="18"/>
  <c r="E330" i="18"/>
  <c r="D332" i="18" l="1"/>
  <c r="E331" i="18"/>
  <c r="F331" i="18"/>
  <c r="E332" i="18" l="1"/>
  <c r="F332" i="18"/>
  <c r="D333" i="18"/>
  <c r="E333" i="18" l="1"/>
  <c r="F333" i="18"/>
  <c r="D334" i="18"/>
  <c r="F334" i="18" l="1"/>
  <c r="D335" i="18"/>
  <c r="E334" i="18"/>
  <c r="D336" i="18" l="1"/>
  <c r="E335" i="18"/>
  <c r="F335" i="18"/>
  <c r="E336" i="18" l="1"/>
  <c r="F336" i="18"/>
  <c r="D337" i="18"/>
  <c r="E337" i="18" l="1"/>
  <c r="F337" i="18"/>
  <c r="D338" i="18"/>
  <c r="F338" i="18" l="1"/>
  <c r="D339" i="18"/>
  <c r="E338" i="18"/>
  <c r="D340" i="18" l="1"/>
  <c r="E339" i="18"/>
  <c r="F339" i="18"/>
  <c r="E340" i="18" l="1"/>
  <c r="F340" i="18"/>
  <c r="D341" i="18"/>
  <c r="E341" i="18" l="1"/>
  <c r="F341" i="18"/>
  <c r="D342" i="18"/>
  <c r="F342" i="18" l="1"/>
  <c r="D343" i="18"/>
  <c r="E342" i="18"/>
  <c r="D344" i="18" l="1"/>
  <c r="E343" i="18"/>
  <c r="F343" i="18"/>
  <c r="E344" i="18" l="1"/>
  <c r="F344" i="18"/>
  <c r="D345" i="18"/>
  <c r="E345" i="18" l="1"/>
  <c r="F345" i="18"/>
  <c r="D346" i="18"/>
  <c r="F346" i="18" l="1"/>
  <c r="D347" i="18"/>
  <c r="E346" i="18"/>
  <c r="D348" i="18" l="1"/>
  <c r="E347" i="18"/>
  <c r="F347" i="18"/>
  <c r="E348" i="18" l="1"/>
  <c r="F348" i="18"/>
  <c r="D349" i="18"/>
  <c r="E349" i="18" l="1"/>
  <c r="F349" i="18"/>
  <c r="D350" i="18"/>
  <c r="F350" i="18" l="1"/>
  <c r="D351" i="18"/>
  <c r="E350" i="18"/>
  <c r="D352" i="18" l="1"/>
  <c r="E351" i="18"/>
  <c r="F351" i="18"/>
  <c r="E352" i="18" l="1"/>
  <c r="F352" i="18"/>
  <c r="D353" i="18"/>
  <c r="E353" i="18" l="1"/>
  <c r="F353" i="18"/>
  <c r="D354" i="18"/>
  <c r="F354" i="18" l="1"/>
  <c r="D355" i="18"/>
  <c r="E354" i="18"/>
  <c r="D356" i="18" l="1"/>
  <c r="E355" i="18"/>
  <c r="F355" i="18"/>
  <c r="E356" i="18" l="1"/>
  <c r="F356" i="18"/>
  <c r="D357" i="18"/>
  <c r="E357" i="18" l="1"/>
  <c r="F357" i="18"/>
  <c r="D358" i="18"/>
  <c r="F358" i="18" l="1"/>
  <c r="D359" i="18"/>
  <c r="E358" i="18"/>
  <c r="D360" i="18" l="1"/>
  <c r="E359" i="18"/>
  <c r="F359" i="18"/>
  <c r="E360" i="18" l="1"/>
  <c r="F360" i="18"/>
  <c r="D361" i="18"/>
  <c r="E361" i="18" l="1"/>
  <c r="F361" i="18"/>
  <c r="D362" i="18"/>
  <c r="F362" i="18" l="1"/>
  <c r="D363" i="18"/>
  <c r="E362" i="18"/>
  <c r="D364" i="18" l="1"/>
  <c r="E363" i="18"/>
  <c r="F363" i="18"/>
  <c r="E364" i="18" l="1"/>
  <c r="F364" i="18"/>
  <c r="D365" i="18"/>
  <c r="E365" i="18" l="1"/>
  <c r="F365" i="18"/>
  <c r="D366" i="18"/>
  <c r="F366" i="18" l="1"/>
  <c r="D367" i="18"/>
  <c r="E366" i="18"/>
  <c r="D368" i="18" l="1"/>
  <c r="E367" i="18"/>
  <c r="F367" i="18"/>
  <c r="E368" i="18" l="1"/>
  <c r="F368" i="18"/>
  <c r="D369" i="18"/>
  <c r="E369" i="18" l="1"/>
  <c r="F369" i="18"/>
  <c r="D370" i="18"/>
  <c r="F370" i="18" l="1"/>
  <c r="D371" i="18"/>
  <c r="E370" i="18"/>
  <c r="D372" i="18" l="1"/>
  <c r="E371" i="18"/>
  <c r="F371" i="18"/>
  <c r="E372" i="18" l="1"/>
  <c r="F372" i="18"/>
  <c r="D373" i="18"/>
  <c r="E373" i="18" l="1"/>
  <c r="F373" i="18"/>
  <c r="D374" i="18"/>
  <c r="F374" i="18" l="1"/>
  <c r="D375" i="18"/>
  <c r="E374" i="18"/>
  <c r="D376" i="18" l="1"/>
  <c r="E375" i="18"/>
  <c r="F375" i="18"/>
  <c r="E376" i="18" l="1"/>
  <c r="F376" i="18"/>
  <c r="D377" i="18"/>
  <c r="E377" i="18" l="1"/>
  <c r="F377" i="18"/>
  <c r="D378" i="18"/>
  <c r="F378" i="18" l="1"/>
  <c r="D379" i="18"/>
  <c r="E378" i="18"/>
  <c r="D380" i="18" l="1"/>
  <c r="E379" i="18"/>
  <c r="F379" i="18"/>
  <c r="E380" i="18" l="1"/>
  <c r="F380" i="18"/>
  <c r="D381" i="18"/>
  <c r="E381" i="18" l="1"/>
  <c r="F381" i="18"/>
  <c r="D382" i="18"/>
  <c r="F382" i="18" l="1"/>
  <c r="D383" i="18"/>
  <c r="E382" i="18"/>
  <c r="D384" i="18" l="1"/>
  <c r="E383" i="18"/>
  <c r="F383" i="18"/>
  <c r="E384" i="18" l="1"/>
  <c r="F384" i="18"/>
  <c r="D385" i="18"/>
  <c r="E385" i="18" l="1"/>
  <c r="F385" i="18"/>
  <c r="D386" i="18"/>
  <c r="F386" i="18" l="1"/>
  <c r="D387" i="18"/>
  <c r="E386" i="18"/>
  <c r="D388" i="18" l="1"/>
  <c r="E387" i="18"/>
  <c r="F387" i="18"/>
  <c r="E388" i="18" l="1"/>
  <c r="F388" i="18"/>
  <c r="D389" i="18"/>
  <c r="E389" i="18" l="1"/>
  <c r="F389" i="18"/>
  <c r="D390" i="18"/>
  <c r="F390" i="18" l="1"/>
  <c r="D391" i="18"/>
  <c r="E390" i="18"/>
  <c r="D392" i="18" l="1"/>
  <c r="E391" i="18"/>
  <c r="F391" i="18"/>
  <c r="E392" i="18" l="1"/>
  <c r="F392" i="18"/>
  <c r="D393" i="18"/>
  <c r="E393" i="18" l="1"/>
  <c r="F393" i="18"/>
  <c r="D394" i="18"/>
  <c r="F394" i="18" l="1"/>
  <c r="D395" i="18"/>
  <c r="E394" i="18"/>
  <c r="D396" i="18" l="1"/>
  <c r="E395" i="18"/>
  <c r="F395" i="18"/>
  <c r="E396" i="18" l="1"/>
  <c r="F396" i="18"/>
  <c r="D397" i="18"/>
  <c r="E397" i="18" l="1"/>
  <c r="F397" i="18"/>
  <c r="D398" i="18"/>
  <c r="F398" i="18" l="1"/>
  <c r="D399" i="18"/>
  <c r="E398" i="18"/>
  <c r="D400" i="18" l="1"/>
  <c r="E399" i="18"/>
  <c r="F399" i="18"/>
  <c r="E400" i="18" l="1"/>
  <c r="F400" i="18"/>
  <c r="D401" i="18"/>
  <c r="E401" i="18" l="1"/>
  <c r="F401" i="18"/>
  <c r="D402" i="18"/>
  <c r="F402" i="18" l="1"/>
  <c r="D403" i="18"/>
  <c r="E402" i="18"/>
  <c r="D404" i="18" l="1"/>
  <c r="E403" i="18"/>
  <c r="F403" i="18"/>
  <c r="E404" i="18" l="1"/>
  <c r="F404" i="18"/>
  <c r="D405" i="18"/>
  <c r="E405" i="18" l="1"/>
  <c r="F405" i="18"/>
  <c r="D406" i="18"/>
  <c r="F406" i="18" l="1"/>
  <c r="D407" i="18"/>
  <c r="E406" i="18"/>
  <c r="D408" i="18" l="1"/>
  <c r="E407" i="18"/>
  <c r="F407" i="18"/>
  <c r="E408" i="18" l="1"/>
  <c r="F408" i="18"/>
  <c r="D409" i="18"/>
  <c r="E409" i="18" l="1"/>
  <c r="F409" i="18"/>
  <c r="D410" i="18"/>
  <c r="F410" i="18" l="1"/>
  <c r="D411" i="18"/>
  <c r="E410" i="18"/>
  <c r="D412" i="18" l="1"/>
  <c r="E411" i="18"/>
  <c r="F411" i="18"/>
  <c r="E412" i="18" l="1"/>
  <c r="F412" i="18"/>
  <c r="D413" i="18"/>
  <c r="E413" i="18" l="1"/>
  <c r="F413" i="18"/>
  <c r="D414" i="18"/>
  <c r="F414" i="18" l="1"/>
  <c r="D415" i="18"/>
  <c r="E414" i="18"/>
  <c r="D416" i="18" l="1"/>
  <c r="E415" i="18"/>
  <c r="F415" i="18"/>
  <c r="E416" i="18" l="1"/>
  <c r="F416" i="18"/>
  <c r="D417" i="18"/>
  <c r="E417" i="18" l="1"/>
  <c r="F417" i="18"/>
  <c r="D418" i="18"/>
  <c r="F418" i="18" l="1"/>
  <c r="D419" i="18"/>
  <c r="E418" i="18"/>
  <c r="D420" i="18" l="1"/>
  <c r="E419" i="18"/>
  <c r="F419" i="18"/>
  <c r="E420" i="18" l="1"/>
  <c r="F420" i="18"/>
  <c r="D421" i="18"/>
  <c r="E421" i="18" l="1"/>
  <c r="F421" i="18"/>
  <c r="D422" i="18"/>
  <c r="F422" i="18" l="1"/>
  <c r="D423" i="18"/>
  <c r="E422" i="18"/>
  <c r="D424" i="18" l="1"/>
  <c r="E423" i="18"/>
  <c r="F423" i="18"/>
  <c r="E424" i="18" l="1"/>
  <c r="F424" i="18"/>
  <c r="D425" i="18"/>
  <c r="E425" i="18" l="1"/>
  <c r="F425" i="18"/>
  <c r="D426" i="18"/>
  <c r="F426" i="18" l="1"/>
  <c r="D427" i="18"/>
  <c r="E426" i="18"/>
  <c r="D428" i="18" l="1"/>
  <c r="E427" i="18"/>
  <c r="F427" i="18"/>
  <c r="E428" i="18" l="1"/>
  <c r="F428" i="18"/>
  <c r="D429" i="18"/>
  <c r="E429" i="18" l="1"/>
  <c r="F429" i="18"/>
  <c r="D430" i="18"/>
  <c r="F430" i="18" l="1"/>
  <c r="D431" i="18"/>
  <c r="E430" i="18"/>
  <c r="D432" i="18" l="1"/>
  <c r="E431" i="18"/>
  <c r="F431" i="18"/>
  <c r="E432" i="18" l="1"/>
  <c r="F432" i="18"/>
  <c r="D433" i="18"/>
  <c r="E433" i="18" l="1"/>
  <c r="F433" i="18"/>
  <c r="D434" i="18"/>
  <c r="F434" i="18" l="1"/>
  <c r="D435" i="18"/>
  <c r="E434" i="18"/>
  <c r="D436" i="18" l="1"/>
  <c r="E435" i="18"/>
  <c r="F435" i="18"/>
  <c r="E436" i="18" l="1"/>
  <c r="F436" i="18"/>
  <c r="D437" i="18"/>
  <c r="E437" i="18" l="1"/>
  <c r="F437" i="18"/>
  <c r="D438" i="18"/>
  <c r="F438" i="18" l="1"/>
  <c r="D439" i="18"/>
  <c r="E438" i="18"/>
  <c r="D440" i="18" l="1"/>
  <c r="E439" i="18"/>
  <c r="F439" i="18"/>
  <c r="E440" i="18" l="1"/>
  <c r="F440" i="18"/>
  <c r="D441" i="18"/>
  <c r="E441" i="18" l="1"/>
  <c r="F441" i="18"/>
  <c r="D442" i="18"/>
  <c r="F442" i="18" l="1"/>
  <c r="D443" i="18"/>
  <c r="E442" i="18"/>
  <c r="D444" i="18" l="1"/>
  <c r="E443" i="18"/>
  <c r="F443" i="18"/>
  <c r="E444" i="18" l="1"/>
  <c r="F444" i="18"/>
  <c r="D445" i="18"/>
  <c r="E445" i="18" l="1"/>
  <c r="F445" i="18"/>
  <c r="D446" i="18"/>
  <c r="F446" i="18" l="1"/>
  <c r="D447" i="18"/>
  <c r="E446" i="18"/>
  <c r="D448" i="18" l="1"/>
  <c r="E447" i="18"/>
  <c r="F447" i="18"/>
  <c r="E448" i="18" l="1"/>
  <c r="F448" i="18"/>
  <c r="D449" i="18"/>
  <c r="E449" i="18" l="1"/>
  <c r="F449" i="18"/>
  <c r="D450" i="18"/>
  <c r="F450" i="18" l="1"/>
  <c r="D451" i="18"/>
  <c r="E450" i="18"/>
  <c r="D452" i="18" l="1"/>
  <c r="E451" i="18"/>
  <c r="F451" i="18"/>
  <c r="E452" i="18" l="1"/>
  <c r="F452" i="18"/>
  <c r="D453" i="18"/>
  <c r="E453" i="18" l="1"/>
  <c r="F453" i="18"/>
  <c r="D454" i="18"/>
  <c r="F454" i="18" l="1"/>
  <c r="D455" i="18"/>
  <c r="E454" i="18"/>
  <c r="D456" i="18" l="1"/>
  <c r="E455" i="18"/>
  <c r="F455" i="18"/>
  <c r="E456" i="18" l="1"/>
  <c r="F456" i="18"/>
  <c r="D457" i="18"/>
  <c r="E457" i="18" l="1"/>
  <c r="F457" i="18"/>
  <c r="D458" i="18"/>
  <c r="F458" i="18" l="1"/>
  <c r="D459" i="18"/>
  <c r="E458" i="18"/>
  <c r="D460" i="18" l="1"/>
  <c r="E459" i="18"/>
  <c r="F459" i="18"/>
  <c r="E460" i="18" l="1"/>
  <c r="F460" i="18"/>
  <c r="D461" i="18"/>
  <c r="E461" i="18" l="1"/>
  <c r="F461" i="18"/>
  <c r="D462" i="18"/>
  <c r="F462" i="18" l="1"/>
  <c r="D463" i="18"/>
  <c r="E462" i="18"/>
  <c r="E463" i="18" l="1"/>
  <c r="F463" i="18"/>
</calcChain>
</file>

<file path=xl/sharedStrings.xml><?xml version="1.0" encoding="utf-8"?>
<sst xmlns="http://schemas.openxmlformats.org/spreadsheetml/2006/main" count="1641" uniqueCount="236">
  <si>
    <t>SR_INSTANCE_CODE</t>
  </si>
  <si>
    <t>Technical Name</t>
  </si>
  <si>
    <t>Name</t>
  </si>
  <si>
    <t>Description</t>
  </si>
  <si>
    <t>Data Type</t>
  </si>
  <si>
    <t>S&amp;OP</t>
  </si>
  <si>
    <t>Demand Planning</t>
  </si>
  <si>
    <t>Supply Planning</t>
  </si>
  <si>
    <t>Global Order Promising</t>
  </si>
  <si>
    <t>Overview</t>
  </si>
  <si>
    <t>Loading the Data</t>
  </si>
  <si>
    <t>Required</t>
  </si>
  <si>
    <t>NUMBER</t>
  </si>
  <si>
    <t>Calendar Name</t>
  </si>
  <si>
    <t>Character(22)</t>
  </si>
  <si>
    <t>Character(30)</t>
  </si>
  <si>
    <t>Planning Central</t>
  </si>
  <si>
    <t>CALENDAR_CODE</t>
  </si>
  <si>
    <t>QUARTELY CALENDAR_TYPE</t>
  </si>
  <si>
    <t>DESCRIPTION</t>
  </si>
  <si>
    <t>PATTERN_STRING</t>
  </si>
  <si>
    <t>Pattern String</t>
  </si>
  <si>
    <t>Week Start Day</t>
  </si>
  <si>
    <t>SHIFT_NAME</t>
  </si>
  <si>
    <t>FROM_TIME</t>
  </si>
  <si>
    <t>TO_TIME</t>
  </si>
  <si>
    <t>Character(80)</t>
  </si>
  <si>
    <t>NEXT_DATE</t>
  </si>
  <si>
    <t>PRIOR_DATE</t>
  </si>
  <si>
    <t>SEQ_NUM</t>
  </si>
  <si>
    <t>EXCEPTION_START_DATE</t>
  </si>
  <si>
    <t>EXCEPTION_END_DATE</t>
  </si>
  <si>
    <t>EXCEPTION_TYPE</t>
  </si>
  <si>
    <t>WEEK_START_DATE</t>
  </si>
  <si>
    <t>DELETED_FLAG</t>
  </si>
  <si>
    <t>DAYS_ON</t>
  </si>
  <si>
    <t>DAYS_OFF</t>
  </si>
  <si>
    <t>PERIOD_START_DATE</t>
  </si>
  <si>
    <t>PERIOD_SEQUENCE_NUM</t>
  </si>
  <si>
    <t>PERIOD_NAME</t>
  </si>
  <si>
    <t>Period Name</t>
  </si>
  <si>
    <t>VARCHAR2(22)</t>
  </si>
  <si>
    <t>VARCHAR2(30)</t>
  </si>
  <si>
    <t>VARCHAR2(12)</t>
  </si>
  <si>
    <t>Character (3)</t>
  </si>
  <si>
    <t>No</t>
  </si>
  <si>
    <t>DATE (YYYY/MM/DD)</t>
  </si>
  <si>
    <t>Character(240)</t>
  </si>
  <si>
    <t>Reserved for Future Use</t>
  </si>
  <si>
    <t>*Calendar Code</t>
  </si>
  <si>
    <t>*Source System Code</t>
  </si>
  <si>
    <t>Beginning date for the calendar.</t>
  </si>
  <si>
    <t>End date for the calendar.</t>
  </si>
  <si>
    <t>*Shift Name</t>
  </si>
  <si>
    <t>*Exception Start Date</t>
  </si>
  <si>
    <t>*Exception End Date</t>
  </si>
  <si>
    <t>*Week Start Date</t>
  </si>
  <si>
    <t>Start day of the week.</t>
  </si>
  <si>
    <t>*Sequence Number</t>
  </si>
  <si>
    <t>Number of consecutive working days.</t>
  </si>
  <si>
    <t>Number of consecutive non-working days.</t>
  </si>
  <si>
    <t>*Period Start Date</t>
  </si>
  <si>
    <t>*Period Sequence Numberr</t>
  </si>
  <si>
    <t>Delete Indicator</t>
  </si>
  <si>
    <t>Name of the workday calendar. Must refer to a valid calendar.</t>
  </si>
  <si>
    <t>Unique identifier for the calendar in the source system.</t>
  </si>
  <si>
    <t>Alphanumeric code used to identify the source system.</t>
  </si>
  <si>
    <t>Description of the calendar.</t>
  </si>
  <si>
    <t>Indicates whether the row is no longer valid. If Yes, then this row is deleted from the planning table. Valid values are Yes, No. Default value is No.</t>
  </si>
  <si>
    <t>DATE(YYYY/MM/DD)</t>
  </si>
  <si>
    <t>Character(250)</t>
  </si>
  <si>
    <t>Character(3)</t>
  </si>
  <si>
    <t>DM CAL 2012-20</t>
  </si>
  <si>
    <t>DMCAL2</t>
  </si>
  <si>
    <t>DM Calendar 2012 to 2020</t>
  </si>
  <si>
    <t xml:space="preserve">Name or number to identify a shift. </t>
  </si>
  <si>
    <t>Description of the calendar used to designate shifts.</t>
  </si>
  <si>
    <t xml:space="preserve">Time that the shift begins. Shift times cannot overlap. Enter time in seconds.
</t>
  </si>
  <si>
    <t>Time that the shift ends. Shift times cannot overlap. Enter time in seconds.</t>
  </si>
  <si>
    <t xml:space="preserve">Alphanumeric code used to identify the source system.
</t>
  </si>
  <si>
    <t>Indicates whether the row is no longer valid. If Yes, then this row is deleted from the planning table. Valid values are Yes, No.
Default value is No.</t>
  </si>
  <si>
    <t>FS</t>
  </si>
  <si>
    <t>First Shift</t>
  </si>
  <si>
    <t>SS</t>
  </si>
  <si>
    <t>Second Shift</t>
  </si>
  <si>
    <t>TS</t>
  </si>
  <si>
    <t>Third Shift</t>
  </si>
  <si>
    <t>Exception Indicator</t>
  </si>
  <si>
    <t>Start date that the exception calendar is valid. Must be within the calendar start date and end date.</t>
  </si>
  <si>
    <t>Last date that the exception calendar is valid. Must be within the calendar start date and end date.</t>
  </si>
  <si>
    <t>Code for the exception type. Valid values are: 
1 - On 
2 - Off</t>
  </si>
  <si>
    <t>Sequence number for working days.</t>
  </si>
  <si>
    <t>Indicates whether the row is no longer valid. If Yes, then this row is deleted. Valid values are Yes, No.
Default value is No.</t>
  </si>
  <si>
    <t>Description of the calendar to use for designating workday patterns.</t>
  </si>
  <si>
    <t>DM Calendar 2012 to 2019</t>
  </si>
  <si>
    <t>Start date of the calendar period.</t>
  </si>
  <si>
    <t xml:space="preserve">Sequence number of the  period represented by this record in the calendar.  </t>
  </si>
  <si>
    <t>Name of the calendar period.</t>
  </si>
  <si>
    <t>Start date of the next calendar period.</t>
  </si>
  <si>
    <t>Start date of the prior calendar period.</t>
  </si>
  <si>
    <t>JAN12</t>
  </si>
  <si>
    <t>FEB12</t>
  </si>
  <si>
    <t>MAR12</t>
  </si>
  <si>
    <t>APR12</t>
  </si>
  <si>
    <t>MAY12</t>
  </si>
  <si>
    <t>JUN12</t>
  </si>
  <si>
    <t>JUL12</t>
  </si>
  <si>
    <t>AUG12</t>
  </si>
  <si>
    <t>SEP12</t>
  </si>
  <si>
    <t>OCT12</t>
  </si>
  <si>
    <t>NOV13</t>
  </si>
  <si>
    <t>DEC13</t>
  </si>
  <si>
    <t>JAN13</t>
  </si>
  <si>
    <t>FEB13</t>
  </si>
  <si>
    <t>MAR13</t>
  </si>
  <si>
    <t>APR13</t>
  </si>
  <si>
    <t>MAY13</t>
  </si>
  <si>
    <t>JUN13</t>
  </si>
  <si>
    <t>JUL13</t>
  </si>
  <si>
    <t>AUG13</t>
  </si>
  <si>
    <t>SEP13</t>
  </si>
  <si>
    <t>OCT13</t>
  </si>
  <si>
    <t>DM JAN14</t>
  </si>
  <si>
    <t>DM FEB14</t>
  </si>
  <si>
    <t>DM MAR14</t>
  </si>
  <si>
    <t>DM APR14</t>
  </si>
  <si>
    <t>DM MAY14</t>
  </si>
  <si>
    <t>DM JUN14</t>
  </si>
  <si>
    <t>DM JUL14</t>
  </si>
  <si>
    <t>DM AUG14</t>
  </si>
  <si>
    <t>DM SEP14</t>
  </si>
  <si>
    <t>DM OCT14</t>
  </si>
  <si>
    <t>DM NOV14</t>
  </si>
  <si>
    <t>DM DEC14</t>
  </si>
  <si>
    <t>DM JAN15</t>
  </si>
  <si>
    <t>DM FEB15</t>
  </si>
  <si>
    <t>DM MAR15</t>
  </si>
  <si>
    <t>DM APR15</t>
  </si>
  <si>
    <t>DM MAY15</t>
  </si>
  <si>
    <t>DM JUN15</t>
  </si>
  <si>
    <t>DM JUL15</t>
  </si>
  <si>
    <t>DM AUG15</t>
  </si>
  <si>
    <t>DM SEP15</t>
  </si>
  <si>
    <t>DM OCT15</t>
  </si>
  <si>
    <t>DM NOV15</t>
  </si>
  <si>
    <t>DM DEC15</t>
  </si>
  <si>
    <t>JAN-16</t>
  </si>
  <si>
    <t>FEB-16</t>
  </si>
  <si>
    <t>MAR-16</t>
  </si>
  <si>
    <t>APR-16</t>
  </si>
  <si>
    <t>MAY-16</t>
  </si>
  <si>
    <t>JUN-16</t>
  </si>
  <si>
    <t>JUL-16</t>
  </si>
  <si>
    <t>AUG-16</t>
  </si>
  <si>
    <t>SEP-16</t>
  </si>
  <si>
    <t>OCT-16</t>
  </si>
  <si>
    <t>NOV-16</t>
  </si>
  <si>
    <t>DEC-16</t>
  </si>
  <si>
    <t>JAN-17</t>
  </si>
  <si>
    <t>FEB -17</t>
  </si>
  <si>
    <t>MAR-17</t>
  </si>
  <si>
    <t>APR-17</t>
  </si>
  <si>
    <t>MAY-17</t>
  </si>
  <si>
    <t>JUN-17</t>
  </si>
  <si>
    <t>JUL-17</t>
  </si>
  <si>
    <t>AUG-17</t>
  </si>
  <si>
    <t>SEP-17</t>
  </si>
  <si>
    <t>OCT-17</t>
  </si>
  <si>
    <t>NOV 17</t>
  </si>
  <si>
    <t>DEC 17</t>
  </si>
  <si>
    <t>JAN 18</t>
  </si>
  <si>
    <t>FEB 18</t>
  </si>
  <si>
    <t>MAR 18</t>
  </si>
  <si>
    <t>APR 18</t>
  </si>
  <si>
    <t>MAY 18</t>
  </si>
  <si>
    <t>JUN 18</t>
  </si>
  <si>
    <t>JUL 18</t>
  </si>
  <si>
    <t>AUG 18</t>
  </si>
  <si>
    <t>SEP 18</t>
  </si>
  <si>
    <t>OCT 18</t>
  </si>
  <si>
    <t>NOV 18</t>
  </si>
  <si>
    <t>DEC 18</t>
  </si>
  <si>
    <t>JAN 19</t>
  </si>
  <si>
    <t>FEB 19</t>
  </si>
  <si>
    <t>MAR 19</t>
  </si>
  <si>
    <t>APR 19</t>
  </si>
  <si>
    <t>MAY 19</t>
  </si>
  <si>
    <t>JUN 19</t>
  </si>
  <si>
    <t>JUL 19</t>
  </si>
  <si>
    <t>AUG 19</t>
  </si>
  <si>
    <t>SEP 19</t>
  </si>
  <si>
    <t>OCT 19</t>
  </si>
  <si>
    <t>NOV 19</t>
  </si>
  <si>
    <t>Sup-Weekly1</t>
  </si>
  <si>
    <t>Sup-Weekly2</t>
  </si>
  <si>
    <t>Sup-Weekly3</t>
  </si>
  <si>
    <t>EXT</t>
  </si>
  <si>
    <t>Supplier Calendar1</t>
  </si>
  <si>
    <t>Supplier Calendar2</t>
  </si>
  <si>
    <t>Supplier Calendar3</t>
  </si>
  <si>
    <t>MFG-CAL1</t>
  </si>
  <si>
    <t>Manufacturing Calendar</t>
  </si>
  <si>
    <t>General Shift</t>
  </si>
  <si>
    <t>Supply Chain Planning Upload: Calendars</t>
  </si>
  <si>
    <t>Date corresponding to the next week start day.</t>
  </si>
  <si>
    <t>Date corresponding to the previous week start  day.</t>
  </si>
  <si>
    <t>Character(7)</t>
  </si>
  <si>
    <t>Oracle Fusion Applications</t>
  </si>
  <si>
    <t xml:space="preserve">Click the Generate CSV File button to generate a ZIP file that contains the CSV files. </t>
  </si>
  <si>
    <t>Revision History</t>
  </si>
  <si>
    <t>Date</t>
  </si>
  <si>
    <t>Software Release</t>
  </si>
  <si>
    <t>20C</t>
  </si>
  <si>
    <t>*Calendar Start Date</t>
  </si>
  <si>
    <t xml:space="preserve">*Calendar End Date </t>
  </si>
  <si>
    <t>*Quarterly Calendar Type</t>
  </si>
  <si>
    <t>*From Time</t>
  </si>
  <si>
    <t>*To Time</t>
  </si>
  <si>
    <t>*Next Date</t>
  </si>
  <si>
    <t>*Prior Date</t>
  </si>
  <si>
    <t>*Days On</t>
  </si>
  <si>
    <t>*Days Off</t>
  </si>
  <si>
    <t>Updated Instructions and CSV Generation tab to comply with latest template.</t>
  </si>
  <si>
    <t>Calendar tab: Corrected the length of Calendar Name and Pattern String columns.</t>
  </si>
  <si>
    <t>CALENDAR_NAME</t>
  </si>
  <si>
    <t>CALENDAR_START_DATE</t>
  </si>
  <si>
    <t>CALENDAR_END_DATE</t>
  </si>
  <si>
    <t>WEEK_START_DAY</t>
  </si>
  <si>
    <t>Quarterly calendar type code. Valid values are: 
1 - 4/4/5 week pattern 
2 - 5/4/4 week pattern 
3 - 13 periods for the calendar year 
4 - Regular months of calendar year 
5 - 4/5/4 week pattern</t>
  </si>
  <si>
    <t xml:space="preserve">Pattern string to represent a work week where 1 represents a working day and 0 represents a non-working day. 
For example: 1111100 is a pattern string for a week that has 5 days on and 2 days off. You must have 7 characters in the string to represent all days of the week. </t>
  </si>
  <si>
    <t>The pattern string starts from the day specified in this column.  Valid values are: 
1 - Pattern string starts on a Monday.  
2 - Pattern string starts on the same day of the week on which the calendar start date falls.</t>
  </si>
  <si>
    <t xml:space="preserve">The order of days on and days off to create the repeating workday pattern. 
For example, define a calendar as follows: 
Seq_Num   Days_On   Days_Off
1                  5                 2
2                  4                 3                    
The repeating workday pattern will be over 14 days (5+2+4+3) as follows:  
Sequence 1: 5 days on, 2 days off
Sequence 2: 4 days on, 3 days off </t>
  </si>
  <si>
    <t xml:space="preserve">This Excel template is a tool you can use to create the CSV file for the Load Planning Data from Files task for calendars. Calendars define a work schedule, work day pattern, days off, and so forth.
</t>
  </si>
  <si>
    <t>Remove sample data before importing your data. For more information about preparing your data and loading the CSV files into the interface tables, see the File-Based Data Import for Oracle Supply Chain Management Cloud guide on the Oracle Help Center (https://docs.oracle.com).</t>
  </si>
  <si>
    <t>20D</t>
  </si>
  <si>
    <t>CalendarWorkdayPatterns: Modified the length of Description column from 100 to 250 characters.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</si>
</sst>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/mm/dd"/>
    <numFmt numFmtId="165" formatCode="yyyy\/mm\/dd"/>
    <numFmt numFmtId="166" formatCode="[$-409]d\-mmm\-yyyy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Tahoma"/>
      <family val="2"/>
    </font>
    <font>
      <b/>
      <sz val="14"/>
      <name val="Tahoma"/>
      <family val="2"/>
    </font>
    <font>
      <b/>
      <sz val="10"/>
      <color theme="1"/>
      <name val="Tahoma"/>
      <family val="2"/>
    </font>
    <font>
      <sz val="8"/>
      <color theme="1"/>
      <name val="Tahoma"/>
      <family val="2"/>
    </font>
    <font>
      <sz val="10"/>
      <name val="Arial"/>
      <family val="2"/>
    </font>
    <font>
      <sz val="10"/>
      <color rgb="FF9C650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3F3F3"/>
        <bgColor indexed="64"/>
      </patternFill>
    </fill>
    <fill>
      <patternFill patternType="solid">
        <fgColor rgb="FFA3C2DF"/>
        <bgColor indexed="64"/>
      </patternFill>
    </fill>
    <fill>
      <patternFill patternType="solid">
        <fgColor theme="8" tint="0.3999450666829432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33" borderId="0"/>
    <xf numFmtId="0" fontId="19" fillId="33" borderId="0"/>
    <xf numFmtId="0" fontId="21" fillId="33" borderId="0"/>
    <xf numFmtId="0" fontId="22" fillId="33" borderId="0"/>
    <xf numFmtId="0" fontId="1" fillId="33" borderId="10"/>
    <xf numFmtId="0" fontId="23" fillId="0" borderId="0"/>
    <xf numFmtId="0" fontId="23" fillId="0" borderId="0"/>
    <xf numFmtId="0" fontId="1" fillId="0" borderId="0"/>
    <xf numFmtId="0" fontId="21" fillId="34" borderId="11"/>
  </cellStyleXfs>
  <cellXfs count="36">
    <xf numFmtId="0" fontId="0" fillId="0" borderId="0" xfId="0"/>
    <xf numFmtId="0" fontId="18" fillId="0" borderId="0" xfId="0" applyFont="1" applyAlignment="1">
      <alignment wrapText="1"/>
    </xf>
    <xf numFmtId="0" fontId="18" fillId="0" borderId="0" xfId="0" applyFont="1"/>
    <xf numFmtId="0" fontId="1" fillId="35" borderId="0" xfId="42" applyFill="1"/>
    <xf numFmtId="0" fontId="20" fillId="35" borderId="0" xfId="43" applyFont="1" applyFill="1"/>
    <xf numFmtId="0" fontId="19" fillId="35" borderId="0" xfId="43" applyFill="1"/>
    <xf numFmtId="0" fontId="0" fillId="35" borderId="0" xfId="0" applyFill="1"/>
    <xf numFmtId="0" fontId="24" fillId="4" borderId="0" xfId="8" applyFont="1"/>
    <xf numFmtId="0" fontId="8" fillId="4" borderId="0" xfId="8"/>
    <xf numFmtId="0" fontId="0" fillId="0" borderId="0" xfId="0" applyAlignment="1">
      <alignment wrapText="1"/>
    </xf>
    <xf numFmtId="164" fontId="18" fillId="0" borderId="0" xfId="0" applyNumberFormat="1" applyFont="1"/>
    <xf numFmtId="49" fontId="18" fillId="0" borderId="0" xfId="0" applyNumberFormat="1" applyFont="1"/>
    <xf numFmtId="49" fontId="0" fillId="0" borderId="0" xfId="0" applyNumberFormat="1"/>
    <xf numFmtId="0" fontId="18" fillId="0" borderId="0" xfId="0" applyFont="1" applyAlignment="1">
      <alignment vertical="top" wrapText="1"/>
    </xf>
    <xf numFmtId="49" fontId="18" fillId="0" borderId="0" xfId="0" applyNumberFormat="1" applyFont="1" applyAlignment="1">
      <alignment vertical="top" wrapText="1"/>
    </xf>
    <xf numFmtId="0" fontId="0" fillId="0" borderId="0" xfId="0" applyNumberFormat="1"/>
    <xf numFmtId="0" fontId="25" fillId="4" borderId="0" xfId="8" applyFont="1"/>
    <xf numFmtId="165" fontId="18" fillId="0" borderId="0" xfId="0" applyNumberFormat="1" applyFont="1"/>
    <xf numFmtId="165" fontId="18" fillId="0" borderId="0" xfId="0" applyNumberFormat="1" applyFont="1" applyAlignment="1">
      <alignment vertical="top" wrapText="1"/>
    </xf>
    <xf numFmtId="165" fontId="25" fillId="4" borderId="0" xfId="8" applyNumberFormat="1" applyFont="1"/>
    <xf numFmtId="165" fontId="0" fillId="0" borderId="0" xfId="0" applyNumberFormat="1"/>
    <xf numFmtId="165" fontId="0" fillId="0" borderId="0" xfId="0" applyNumberFormat="1" applyAlignment="1">
      <alignment horizontal="left"/>
    </xf>
    <xf numFmtId="0" fontId="0" fillId="35" borderId="0" xfId="42" applyFont="1" applyFill="1" applyAlignment="1">
      <alignment horizontal="left" vertical="top" wrapText="1"/>
    </xf>
    <xf numFmtId="0" fontId="1" fillId="35" borderId="0" xfId="42" applyFill="1" applyAlignment="1">
      <alignment horizontal="left" vertical="top" wrapText="1"/>
    </xf>
    <xf numFmtId="0" fontId="1" fillId="35" borderId="0" xfId="42" applyFill="1"/>
    <xf numFmtId="0" fontId="27" fillId="35" borderId="0" xfId="42" applyFont="1" applyFill="1" applyAlignment="1">
      <alignment horizontal="left" vertical="top" wrapText="1"/>
    </xf>
    <xf numFmtId="0" fontId="1" fillId="35" borderId="0" xfId="42" applyFill="1" applyAlignment="1"/>
    <xf numFmtId="0" fontId="26" fillId="35" borderId="0" xfId="0" applyFont="1" applyFill="1"/>
    <xf numFmtId="0" fontId="16" fillId="35" borderId="0" xfId="0" applyFont="1" applyFill="1"/>
    <xf numFmtId="166" fontId="0" fillId="35" borderId="0" xfId="0" applyNumberFormat="1" applyFill="1" applyAlignment="1">
      <alignment horizontal="left"/>
    </xf>
    <xf numFmtId="0" fontId="0" fillId="35" borderId="0" xfId="0" applyFill="1" applyAlignment="1">
      <alignment horizontal="left" vertical="top"/>
    </xf>
    <xf numFmtId="0" fontId="26" fillId="35" borderId="0" xfId="44" applyFont="1" applyFill="1"/>
    <xf numFmtId="0" fontId="1" fillId="35" borderId="0" xfId="42" applyFill="1"/>
    <xf numFmtId="0" fontId="0" fillId="35" borderId="0" xfId="42" applyFont="1" applyFill="1" applyAlignment="1">
      <alignment horizontal="left" vertical="top" wrapText="1"/>
    </xf>
    <xf numFmtId="0" fontId="0" fillId="35" borderId="0" xfId="0" applyFill="1" applyAlignment="1">
      <alignment horizontal="left" vertical="top" wrapText="1"/>
    </xf>
    <xf numFmtId="0" fontId="0" fillId="35" borderId="0" xfId="42" applyFont="1" applyFill="1" applyAlignment="1">
      <alignment horizontal="left" vertical="top"/>
    </xf>
  </cellXfs>
  <cellStyles count="51">
    <cellStyle name="* Required" xfId="45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OTTOM_BKG" xfId="46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GRAY BACKGROUND" xfId="42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7"/>
    <cellStyle name="Normal 3" xfId="48"/>
    <cellStyle name="Normal 4" xfId="49"/>
    <cellStyle name="Note" xfId="15" builtinId="10" customBuiltin="1"/>
    <cellStyle name="Output" xfId="10" builtinId="21" customBuiltin="1"/>
    <cellStyle name="PAGE_HEADER" xfId="43"/>
    <cellStyle name="SUB HEADER" xfId="44"/>
    <cellStyle name="TABLE HEADER" xfId="50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1390476</xdr:colOff>
      <xdr:row>1</xdr:row>
      <xdr:rowOff>200000</xdr:rowOff>
    </xdr:to>
    <xdr:pic>
      <xdr:nvPicPr>
        <xdr:cNvPr id="2" name="Picture 1" descr="image00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76200"/>
          <a:ext cx="1390476" cy="20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9</xdr:row>
          <xdr:rowOff>133350</xdr:rowOff>
        </xdr:from>
        <xdr:to>
          <xdr:col>2</xdr:col>
          <xdr:colOff>508000</xdr:colOff>
          <xdr:row>9</xdr:row>
          <xdr:rowOff>717550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E22"/>
  <sheetViews>
    <sheetView tabSelected="1" workbookViewId="0">
      <selection activeCell="C3" sqref="C3"/>
    </sheetView>
  </sheetViews>
  <sheetFormatPr defaultColWidth="9.1796875" defaultRowHeight="14.5" x14ac:dyDescent="0.35"/>
  <cols>
    <col min="1" max="1" width="1.7265625" style="6" customWidth="1"/>
    <col min="2" max="2" width="21.7265625" style="6" customWidth="1"/>
    <col min="3" max="3" width="21.26953125" style="6" customWidth="1"/>
    <col min="4" max="4" width="72.81640625" style="6" customWidth="1"/>
    <col min="5" max="16384" width="9.1796875" style="6"/>
  </cols>
  <sheetData>
    <row r="1" spans="2:5" s="3" customFormat="1" ht="6" customHeight="1" x14ac:dyDescent="0.35"/>
    <row r="2" spans="2:5" s="3" customFormat="1" ht="16.5" customHeight="1" x14ac:dyDescent="0.35">
      <c r="C2" s="4" t="s">
        <v>207</v>
      </c>
    </row>
    <row r="3" spans="2:5" s="3" customFormat="1" ht="17.5" x14ac:dyDescent="0.35">
      <c r="C3" s="5" t="s">
        <v>203</v>
      </c>
    </row>
    <row r="4" spans="2:5" s="24" customFormat="1" ht="17.5" x14ac:dyDescent="0.35">
      <c r="C4" s="5"/>
    </row>
    <row r="5" spans="2:5" s="3" customFormat="1" ht="18" customHeight="1" x14ac:dyDescent="0.35">
      <c r="B5" s="31" t="s">
        <v>9</v>
      </c>
      <c r="C5" s="31"/>
      <c r="D5" s="31"/>
    </row>
    <row r="6" spans="2:5" s="26" customFormat="1" ht="37.5" customHeight="1" x14ac:dyDescent="0.35">
      <c r="B6" s="33" t="s">
        <v>232</v>
      </c>
      <c r="C6" s="33"/>
      <c r="D6" s="33"/>
      <c r="E6" s="33"/>
    </row>
    <row r="7" spans="2:5" s="24" customFormat="1" ht="15" customHeight="1" x14ac:dyDescent="0.35">
      <c r="B7" s="22"/>
      <c r="C7" s="22"/>
      <c r="D7" s="22"/>
      <c r="E7" s="23"/>
    </row>
    <row r="8" spans="2:5" s="24" customFormat="1" ht="18" customHeight="1" x14ac:dyDescent="0.35">
      <c r="B8" s="25" t="s">
        <v>10</v>
      </c>
      <c r="C8" s="22"/>
      <c r="D8" s="22"/>
      <c r="E8" s="23"/>
    </row>
    <row r="9" spans="2:5" s="26" customFormat="1" ht="21.75" customHeight="1" x14ac:dyDescent="0.35">
      <c r="B9" s="35" t="s">
        <v>208</v>
      </c>
      <c r="C9" s="35"/>
      <c r="D9" s="35"/>
      <c r="E9" s="35"/>
    </row>
    <row r="10" spans="2:5" s="3" customFormat="1" ht="59.25" customHeight="1" x14ac:dyDescent="0.35">
      <c r="B10" s="32"/>
      <c r="C10" s="32"/>
    </row>
    <row r="12" spans="2:5" ht="54.75" customHeight="1" x14ac:dyDescent="0.35">
      <c r="B12" s="34" t="s">
        <v>233</v>
      </c>
      <c r="C12" s="34"/>
      <c r="D12" s="34"/>
      <c r="E12" s="34"/>
    </row>
    <row r="14" spans="2:5" ht="15.5" x14ac:dyDescent="0.35">
      <c r="B14" s="27" t="s">
        <v>209</v>
      </c>
    </row>
    <row r="15" spans="2:5" x14ac:dyDescent="0.35">
      <c r="B15" s="28" t="s">
        <v>210</v>
      </c>
      <c r="C15" s="28" t="s">
        <v>211</v>
      </c>
      <c r="D15" s="28" t="s">
        <v>3</v>
      </c>
      <c r="E15" s="28"/>
    </row>
    <row r="16" spans="2:5" x14ac:dyDescent="0.35">
      <c r="B16" s="29">
        <v>43880</v>
      </c>
      <c r="C16" s="6" t="s">
        <v>212</v>
      </c>
      <c r="D16" s="30" t="s">
        <v>222</v>
      </c>
      <c r="E16" s="30"/>
    </row>
    <row r="17" spans="2:5" x14ac:dyDescent="0.35">
      <c r="B17" s="29">
        <v>43880</v>
      </c>
      <c r="C17" s="6" t="s">
        <v>212</v>
      </c>
      <c r="D17" s="30" t="s">
        <v>223</v>
      </c>
      <c r="E17" s="30"/>
    </row>
    <row r="18" spans="2:5" x14ac:dyDescent="0.35">
      <c r="B18" s="29">
        <v>43970</v>
      </c>
      <c r="C18" s="6" t="s">
        <v>234</v>
      </c>
      <c r="D18" s="6" t="s">
        <v>235</v>
      </c>
    </row>
    <row r="19" spans="2:5" x14ac:dyDescent="0.35">
      <c r="B19" s="29"/>
    </row>
    <row r="20" spans="2:5" x14ac:dyDescent="0.35">
      <c r="B20" s="29"/>
    </row>
    <row r="21" spans="2:5" x14ac:dyDescent="0.35">
      <c r="B21" s="29"/>
    </row>
    <row r="22" spans="2:5" x14ac:dyDescent="0.35">
      <c r="B22" s="29"/>
    </row>
  </sheetData>
  <mergeCells count="7">
    <mergeCell ref="D16:E16"/>
    <mergeCell ref="D17:E17"/>
    <mergeCell ref="B5:D5"/>
    <mergeCell ref="B10:C10"/>
    <mergeCell ref="B6:E6"/>
    <mergeCell ref="B12:E12"/>
    <mergeCell ref="B9:E9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1</xdr:col>
                <xdr:colOff>228600</xdr:colOff>
                <xdr:row>9</xdr:row>
                <xdr:rowOff>133350</xdr:rowOff>
              </from>
              <to>
                <xdr:col>2</xdr:col>
                <xdr:colOff>508000</xdr:colOff>
                <xdr:row>9</xdr:row>
                <xdr:rowOff>717550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5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/>
    </sheetView>
  </sheetViews>
  <sheetFormatPr defaultColWidth="19.1796875" defaultRowHeight="14.5" x14ac:dyDescent="0.35"/>
  <cols>
    <col min="4" max="4" width="19.1796875" style="20"/>
    <col min="5" max="5" width="22.81640625" style="20" customWidth="1"/>
    <col min="6" max="6" width="23.453125" customWidth="1"/>
    <col min="9" max="9" width="28.1796875" style="12" customWidth="1"/>
    <col min="11" max="11" width="16.54296875"/>
  </cols>
  <sheetData>
    <row r="1" spans="1:11" x14ac:dyDescent="0.35">
      <c r="A1" s="1" t="s">
        <v>2</v>
      </c>
      <c r="B1" s="2" t="s">
        <v>13</v>
      </c>
      <c r="C1" s="2" t="s">
        <v>49</v>
      </c>
      <c r="D1" s="2" t="s">
        <v>213</v>
      </c>
      <c r="E1" s="2" t="s">
        <v>214</v>
      </c>
      <c r="F1" s="2" t="s">
        <v>215</v>
      </c>
      <c r="G1" s="2" t="s">
        <v>50</v>
      </c>
      <c r="H1" s="2" t="s">
        <v>3</v>
      </c>
      <c r="I1" s="11" t="s">
        <v>21</v>
      </c>
      <c r="J1" s="2" t="s">
        <v>22</v>
      </c>
      <c r="K1" s="2" t="s">
        <v>63</v>
      </c>
    </row>
    <row r="2" spans="1:11" s="9" customFormat="1" ht="156" x14ac:dyDescent="0.35">
      <c r="A2" s="1" t="s">
        <v>3</v>
      </c>
      <c r="B2" s="13" t="s">
        <v>64</v>
      </c>
      <c r="C2" s="13" t="s">
        <v>65</v>
      </c>
      <c r="D2" s="18" t="s">
        <v>51</v>
      </c>
      <c r="E2" s="18" t="s">
        <v>52</v>
      </c>
      <c r="F2" s="13" t="s">
        <v>228</v>
      </c>
      <c r="G2" s="13" t="s">
        <v>66</v>
      </c>
      <c r="H2" s="13" t="s">
        <v>67</v>
      </c>
      <c r="I2" s="14" t="s">
        <v>229</v>
      </c>
      <c r="J2" s="14" t="s">
        <v>230</v>
      </c>
      <c r="K2" s="13" t="s">
        <v>68</v>
      </c>
    </row>
    <row r="3" spans="1:11" x14ac:dyDescent="0.35">
      <c r="A3" s="2" t="s">
        <v>4</v>
      </c>
      <c r="B3" s="2" t="s">
        <v>47</v>
      </c>
      <c r="C3" s="2" t="s">
        <v>14</v>
      </c>
      <c r="D3" s="17" t="s">
        <v>69</v>
      </c>
      <c r="E3" s="17" t="s">
        <v>69</v>
      </c>
      <c r="F3" s="2" t="s">
        <v>12</v>
      </c>
      <c r="G3" s="2" t="s">
        <v>15</v>
      </c>
      <c r="H3" s="2" t="s">
        <v>70</v>
      </c>
      <c r="I3" s="2" t="s">
        <v>206</v>
      </c>
      <c r="J3" s="2" t="s">
        <v>12</v>
      </c>
      <c r="K3" s="2" t="s">
        <v>71</v>
      </c>
    </row>
    <row r="4" spans="1:11" x14ac:dyDescent="0.35">
      <c r="A4" s="2" t="s">
        <v>8</v>
      </c>
      <c r="B4" s="2" t="s">
        <v>11</v>
      </c>
      <c r="C4" s="2" t="s">
        <v>11</v>
      </c>
      <c r="D4" s="17" t="s">
        <v>11</v>
      </c>
      <c r="E4" s="17" t="s">
        <v>11</v>
      </c>
      <c r="F4" s="2" t="s">
        <v>11</v>
      </c>
      <c r="G4" s="2" t="s">
        <v>11</v>
      </c>
      <c r="H4" s="2"/>
      <c r="I4" s="2" t="s">
        <v>11</v>
      </c>
      <c r="J4" s="2" t="s">
        <v>11</v>
      </c>
    </row>
    <row r="5" spans="1:11" x14ac:dyDescent="0.35">
      <c r="A5" s="2" t="s">
        <v>16</v>
      </c>
      <c r="B5" s="2" t="s">
        <v>11</v>
      </c>
      <c r="C5" s="2" t="s">
        <v>11</v>
      </c>
      <c r="D5" s="17" t="s">
        <v>11</v>
      </c>
      <c r="E5" s="17" t="s">
        <v>11</v>
      </c>
      <c r="F5" s="2" t="s">
        <v>11</v>
      </c>
      <c r="G5" s="2" t="s">
        <v>11</v>
      </c>
      <c r="H5" s="2"/>
      <c r="I5" s="2" t="s">
        <v>11</v>
      </c>
      <c r="J5" s="2" t="s">
        <v>11</v>
      </c>
    </row>
    <row r="6" spans="1:11" x14ac:dyDescent="0.35">
      <c r="A6" s="2" t="s">
        <v>5</v>
      </c>
      <c r="B6" s="2"/>
      <c r="C6" s="2"/>
      <c r="D6" s="17"/>
      <c r="E6" s="17"/>
      <c r="F6" s="2"/>
      <c r="G6" s="2"/>
      <c r="H6" s="2"/>
      <c r="I6" s="11"/>
      <c r="J6" s="2"/>
    </row>
    <row r="7" spans="1:11" x14ac:dyDescent="0.35">
      <c r="A7" s="2" t="s">
        <v>6</v>
      </c>
      <c r="B7" s="2"/>
      <c r="C7" s="2"/>
      <c r="D7" s="17"/>
      <c r="E7" s="17"/>
      <c r="F7" s="2"/>
      <c r="G7" s="2"/>
      <c r="H7" s="2"/>
      <c r="I7" s="11"/>
      <c r="J7" s="2"/>
    </row>
    <row r="8" spans="1:11" x14ac:dyDescent="0.35">
      <c r="A8" s="2" t="s">
        <v>7</v>
      </c>
      <c r="B8" s="2"/>
      <c r="C8" s="2"/>
      <c r="D8" s="17"/>
      <c r="E8" s="17"/>
      <c r="F8" s="2"/>
      <c r="G8" s="2"/>
      <c r="H8" s="2"/>
      <c r="I8" s="11"/>
      <c r="J8" s="2"/>
    </row>
    <row r="9" spans="1:11" s="2" customFormat="1" ht="13" x14ac:dyDescent="0.3">
      <c r="A9" s="2" t="s">
        <v>48</v>
      </c>
      <c r="D9" s="17"/>
      <c r="E9" s="17"/>
    </row>
    <row r="10" spans="1:11" s="8" customFormat="1" x14ac:dyDescent="0.35">
      <c r="A10" s="7" t="s">
        <v>1</v>
      </c>
      <c r="B10" s="16" t="s">
        <v>224</v>
      </c>
      <c r="C10" s="16" t="s">
        <v>17</v>
      </c>
      <c r="D10" s="19" t="s">
        <v>225</v>
      </c>
      <c r="E10" s="19" t="s">
        <v>226</v>
      </c>
      <c r="F10" s="16" t="s">
        <v>18</v>
      </c>
      <c r="G10" s="16" t="s">
        <v>0</v>
      </c>
      <c r="H10" s="16" t="s">
        <v>19</v>
      </c>
      <c r="I10" s="16" t="s">
        <v>20</v>
      </c>
      <c r="J10" s="16" t="s">
        <v>227</v>
      </c>
      <c r="K10" s="16" t="s">
        <v>34</v>
      </c>
    </row>
    <row r="11" spans="1:11" x14ac:dyDescent="0.35">
      <c r="B11" t="s">
        <v>72</v>
      </c>
      <c r="C11" t="s">
        <v>73</v>
      </c>
      <c r="D11" s="20">
        <v>40903</v>
      </c>
      <c r="E11" s="20">
        <v>44196</v>
      </c>
      <c r="F11">
        <v>1</v>
      </c>
      <c r="G11" t="s">
        <v>196</v>
      </c>
      <c r="H11" t="s">
        <v>74</v>
      </c>
      <c r="I11" s="15">
        <v>1111100</v>
      </c>
      <c r="J11">
        <v>1</v>
      </c>
      <c r="K11" t="s">
        <v>45</v>
      </c>
    </row>
    <row r="12" spans="1:11" x14ac:dyDescent="0.35">
      <c r="B12" t="s">
        <v>193</v>
      </c>
      <c r="C12" t="s">
        <v>193</v>
      </c>
      <c r="D12" s="20">
        <v>42736</v>
      </c>
      <c r="E12" s="20">
        <v>43100</v>
      </c>
      <c r="F12">
        <v>2</v>
      </c>
      <c r="G12" t="s">
        <v>196</v>
      </c>
      <c r="H12" t="s">
        <v>197</v>
      </c>
      <c r="I12" s="15">
        <v>1111100</v>
      </c>
      <c r="J12" s="15">
        <v>2</v>
      </c>
    </row>
    <row r="13" spans="1:11" x14ac:dyDescent="0.35">
      <c r="B13" t="s">
        <v>194</v>
      </c>
      <c r="C13" t="s">
        <v>194</v>
      </c>
      <c r="D13" s="20">
        <v>42736</v>
      </c>
      <c r="E13" s="20">
        <v>43100</v>
      </c>
      <c r="F13">
        <v>3</v>
      </c>
      <c r="G13" t="s">
        <v>196</v>
      </c>
      <c r="H13" t="s">
        <v>198</v>
      </c>
      <c r="I13" s="15">
        <v>1111110</v>
      </c>
      <c r="J13" s="15">
        <v>1</v>
      </c>
    </row>
    <row r="14" spans="1:11" x14ac:dyDescent="0.35">
      <c r="B14" t="s">
        <v>195</v>
      </c>
      <c r="C14" t="s">
        <v>195</v>
      </c>
      <c r="D14" s="20">
        <v>42736</v>
      </c>
      <c r="E14" s="20">
        <v>43100</v>
      </c>
      <c r="F14">
        <v>4</v>
      </c>
      <c r="G14" t="s">
        <v>196</v>
      </c>
      <c r="H14" t="s">
        <v>199</v>
      </c>
      <c r="I14" s="15">
        <v>1111100</v>
      </c>
      <c r="J14" s="15">
        <v>1</v>
      </c>
    </row>
    <row r="15" spans="1:11" x14ac:dyDescent="0.35">
      <c r="B15" t="s">
        <v>200</v>
      </c>
      <c r="C15" t="s">
        <v>200</v>
      </c>
      <c r="D15" s="20">
        <v>42736</v>
      </c>
      <c r="E15" s="20">
        <v>43100</v>
      </c>
      <c r="F15">
        <v>5</v>
      </c>
      <c r="G15" t="s">
        <v>196</v>
      </c>
      <c r="H15" t="s">
        <v>201</v>
      </c>
      <c r="I15" s="15">
        <v>1111100</v>
      </c>
      <c r="J15" s="15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6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/>
    </sheetView>
  </sheetViews>
  <sheetFormatPr defaultColWidth="17.54296875" defaultRowHeight="14.5" x14ac:dyDescent="0.35"/>
  <cols>
    <col min="1" max="1" width="19.7265625" bestFit="1" customWidth="1"/>
    <col min="8" max="8" width="15.7265625" bestFit="1" customWidth="1"/>
  </cols>
  <sheetData>
    <row r="1" spans="1:8" x14ac:dyDescent="0.35">
      <c r="A1" s="1" t="s">
        <v>2</v>
      </c>
      <c r="B1" s="2" t="s">
        <v>49</v>
      </c>
      <c r="C1" s="2" t="s">
        <v>53</v>
      </c>
      <c r="D1" s="2" t="s">
        <v>3</v>
      </c>
      <c r="E1" s="2" t="s">
        <v>216</v>
      </c>
      <c r="F1" s="2" t="s">
        <v>217</v>
      </c>
      <c r="G1" s="2" t="s">
        <v>50</v>
      </c>
      <c r="H1" s="2" t="s">
        <v>63</v>
      </c>
    </row>
    <row r="2" spans="1:8" ht="117" x14ac:dyDescent="0.35">
      <c r="A2" s="1" t="s">
        <v>3</v>
      </c>
      <c r="B2" s="2" t="s">
        <v>65</v>
      </c>
      <c r="C2" s="13" t="s">
        <v>75</v>
      </c>
      <c r="D2" s="13" t="s">
        <v>76</v>
      </c>
      <c r="E2" s="13" t="s">
        <v>77</v>
      </c>
      <c r="F2" s="13" t="s">
        <v>78</v>
      </c>
      <c r="G2" s="13" t="s">
        <v>79</v>
      </c>
      <c r="H2" s="13" t="s">
        <v>80</v>
      </c>
    </row>
    <row r="3" spans="1:8" x14ac:dyDescent="0.35">
      <c r="A3" s="2" t="s">
        <v>4</v>
      </c>
      <c r="B3" s="2" t="s">
        <v>14</v>
      </c>
      <c r="C3" s="2" t="s">
        <v>26</v>
      </c>
      <c r="D3" s="2" t="s">
        <v>47</v>
      </c>
      <c r="E3" s="2" t="s">
        <v>12</v>
      </c>
      <c r="F3" s="2" t="s">
        <v>12</v>
      </c>
      <c r="G3" s="2" t="s">
        <v>15</v>
      </c>
      <c r="H3" s="2" t="s">
        <v>71</v>
      </c>
    </row>
    <row r="4" spans="1:8" x14ac:dyDescent="0.35">
      <c r="A4" s="2" t="s">
        <v>8</v>
      </c>
      <c r="B4" s="2" t="s">
        <v>11</v>
      </c>
      <c r="C4" s="2" t="s">
        <v>11</v>
      </c>
      <c r="D4" s="2"/>
      <c r="E4" s="2" t="s">
        <v>11</v>
      </c>
      <c r="F4" s="2" t="s">
        <v>11</v>
      </c>
      <c r="G4" s="2" t="s">
        <v>11</v>
      </c>
    </row>
    <row r="5" spans="1:8" x14ac:dyDescent="0.35">
      <c r="A5" s="2" t="s">
        <v>16</v>
      </c>
      <c r="B5" s="2" t="s">
        <v>11</v>
      </c>
      <c r="C5" s="2" t="s">
        <v>11</v>
      </c>
      <c r="D5" s="2"/>
      <c r="E5" s="2" t="s">
        <v>11</v>
      </c>
      <c r="F5" s="2" t="s">
        <v>11</v>
      </c>
      <c r="G5" s="2" t="s">
        <v>11</v>
      </c>
    </row>
    <row r="6" spans="1:8" x14ac:dyDescent="0.35">
      <c r="A6" s="2" t="s">
        <v>5</v>
      </c>
      <c r="B6" s="2"/>
      <c r="C6" s="2"/>
      <c r="D6" s="2"/>
      <c r="E6" s="2"/>
      <c r="F6" s="2"/>
      <c r="G6" s="2"/>
    </row>
    <row r="7" spans="1:8" x14ac:dyDescent="0.35">
      <c r="A7" s="2" t="s">
        <v>6</v>
      </c>
      <c r="B7" s="2"/>
      <c r="C7" s="2"/>
      <c r="D7" s="2"/>
      <c r="E7" s="2"/>
      <c r="F7" s="2"/>
      <c r="G7" s="2"/>
    </row>
    <row r="8" spans="1:8" x14ac:dyDescent="0.35">
      <c r="A8" s="2" t="s">
        <v>7</v>
      </c>
      <c r="B8" s="2"/>
      <c r="C8" s="2"/>
      <c r="D8" s="2"/>
      <c r="E8" s="2"/>
      <c r="F8" s="2"/>
      <c r="G8" s="2"/>
    </row>
    <row r="9" spans="1:8" x14ac:dyDescent="0.35">
      <c r="A9" s="2" t="s">
        <v>48</v>
      </c>
      <c r="H9" s="2"/>
    </row>
    <row r="10" spans="1:8" s="8" customFormat="1" x14ac:dyDescent="0.35">
      <c r="A10" s="7" t="s">
        <v>1</v>
      </c>
      <c r="B10" s="16" t="s">
        <v>17</v>
      </c>
      <c r="C10" s="16" t="s">
        <v>23</v>
      </c>
      <c r="D10" s="16" t="s">
        <v>19</v>
      </c>
      <c r="E10" s="16" t="s">
        <v>24</v>
      </c>
      <c r="F10" s="16" t="s">
        <v>25</v>
      </c>
      <c r="G10" s="16" t="s">
        <v>0</v>
      </c>
      <c r="H10" s="16" t="s">
        <v>34</v>
      </c>
    </row>
    <row r="11" spans="1:8" x14ac:dyDescent="0.35">
      <c r="B11" t="s">
        <v>73</v>
      </c>
      <c r="C11" t="s">
        <v>81</v>
      </c>
      <c r="D11" t="s">
        <v>82</v>
      </c>
      <c r="E11" s="15">
        <f>8*60*60+1</f>
        <v>28801</v>
      </c>
      <c r="F11" s="15">
        <f>16*60*60</f>
        <v>57600</v>
      </c>
      <c r="G11" t="s">
        <v>196</v>
      </c>
      <c r="H11" t="s">
        <v>45</v>
      </c>
    </row>
    <row r="12" spans="1:8" x14ac:dyDescent="0.35">
      <c r="B12" t="s">
        <v>73</v>
      </c>
      <c r="C12" t="s">
        <v>83</v>
      </c>
      <c r="D12" t="s">
        <v>84</v>
      </c>
      <c r="E12" s="15">
        <f>16*60*60+1</f>
        <v>57601</v>
      </c>
      <c r="F12" s="15">
        <f>24*60*60</f>
        <v>86400</v>
      </c>
      <c r="G12" t="s">
        <v>196</v>
      </c>
    </row>
    <row r="13" spans="1:8" x14ac:dyDescent="0.35">
      <c r="B13" t="s">
        <v>73</v>
      </c>
      <c r="C13" t="s">
        <v>85</v>
      </c>
      <c r="D13" t="s">
        <v>86</v>
      </c>
      <c r="E13" s="15">
        <v>1</v>
      </c>
      <c r="F13" s="15">
        <f>8*60*60</f>
        <v>28800</v>
      </c>
      <c r="G13" t="s">
        <v>196</v>
      </c>
    </row>
    <row r="14" spans="1:8" x14ac:dyDescent="0.35">
      <c r="B14" t="s">
        <v>200</v>
      </c>
      <c r="C14" t="s">
        <v>82</v>
      </c>
      <c r="D14" t="s">
        <v>82</v>
      </c>
      <c r="E14">
        <v>32401</v>
      </c>
      <c r="F14">
        <v>61200</v>
      </c>
      <c r="G14" t="s">
        <v>196</v>
      </c>
    </row>
    <row r="15" spans="1:8" x14ac:dyDescent="0.35">
      <c r="B15" t="s">
        <v>200</v>
      </c>
      <c r="C15" t="s">
        <v>84</v>
      </c>
      <c r="D15" t="s">
        <v>84</v>
      </c>
      <c r="E15">
        <v>61201</v>
      </c>
      <c r="F15">
        <v>86400</v>
      </c>
      <c r="G15" t="s">
        <v>196</v>
      </c>
    </row>
    <row r="16" spans="1:8" x14ac:dyDescent="0.35">
      <c r="B16" t="s">
        <v>194</v>
      </c>
      <c r="C16" t="s">
        <v>202</v>
      </c>
      <c r="D16" t="s">
        <v>202</v>
      </c>
      <c r="E16">
        <v>32401</v>
      </c>
      <c r="F16">
        <v>61200</v>
      </c>
      <c r="G16" t="s">
        <v>196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6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/>
    </sheetView>
  </sheetViews>
  <sheetFormatPr defaultColWidth="19.26953125" defaultRowHeight="14.5" x14ac:dyDescent="0.35"/>
  <cols>
    <col min="4" max="5" width="19.26953125" style="20"/>
    <col min="7" max="7" width="15.26953125" bestFit="1" customWidth="1"/>
  </cols>
  <sheetData>
    <row r="1" spans="1:7" x14ac:dyDescent="0.35">
      <c r="A1" s="1" t="s">
        <v>2</v>
      </c>
      <c r="B1" s="17" t="s">
        <v>49</v>
      </c>
      <c r="C1" s="17" t="s">
        <v>50</v>
      </c>
      <c r="D1" s="17" t="s">
        <v>54</v>
      </c>
      <c r="E1" s="17" t="s">
        <v>55</v>
      </c>
      <c r="F1" s="2" t="s">
        <v>87</v>
      </c>
      <c r="G1" s="2" t="s">
        <v>63</v>
      </c>
    </row>
    <row r="2" spans="1:7" ht="130" x14ac:dyDescent="0.35">
      <c r="A2" s="1" t="s">
        <v>3</v>
      </c>
      <c r="B2" s="13" t="s">
        <v>65</v>
      </c>
      <c r="C2" s="13" t="s">
        <v>79</v>
      </c>
      <c r="D2" s="18" t="s">
        <v>88</v>
      </c>
      <c r="E2" s="18" t="s">
        <v>89</v>
      </c>
      <c r="F2" s="13" t="s">
        <v>90</v>
      </c>
      <c r="G2" s="13" t="s">
        <v>80</v>
      </c>
    </row>
    <row r="3" spans="1:7" x14ac:dyDescent="0.35">
      <c r="A3" s="2" t="s">
        <v>4</v>
      </c>
      <c r="B3" s="2" t="s">
        <v>14</v>
      </c>
      <c r="C3" s="2" t="s">
        <v>15</v>
      </c>
      <c r="D3" s="17" t="s">
        <v>69</v>
      </c>
      <c r="E3" s="17" t="s">
        <v>69</v>
      </c>
      <c r="F3" s="2" t="s">
        <v>12</v>
      </c>
      <c r="G3" s="2" t="s">
        <v>71</v>
      </c>
    </row>
    <row r="4" spans="1:7" x14ac:dyDescent="0.35">
      <c r="A4" s="2" t="s">
        <v>8</v>
      </c>
      <c r="B4" s="2" t="s">
        <v>11</v>
      </c>
      <c r="C4" s="10" t="s">
        <v>11</v>
      </c>
      <c r="D4" s="17" t="s">
        <v>11</v>
      </c>
      <c r="E4" s="17" t="s">
        <v>11</v>
      </c>
      <c r="F4" s="2"/>
    </row>
    <row r="5" spans="1:7" x14ac:dyDescent="0.35">
      <c r="A5" s="2" t="s">
        <v>16</v>
      </c>
      <c r="B5" s="2" t="s">
        <v>11</v>
      </c>
      <c r="C5" s="10" t="s">
        <v>11</v>
      </c>
      <c r="D5" s="17" t="s">
        <v>11</v>
      </c>
      <c r="E5" s="17" t="s">
        <v>11</v>
      </c>
      <c r="F5" s="2"/>
    </row>
    <row r="6" spans="1:7" x14ac:dyDescent="0.35">
      <c r="A6" s="2" t="s">
        <v>5</v>
      </c>
      <c r="B6" s="2"/>
      <c r="C6" s="2"/>
      <c r="D6" s="17"/>
      <c r="E6" s="17"/>
      <c r="F6" s="2"/>
    </row>
    <row r="7" spans="1:7" x14ac:dyDescent="0.35">
      <c r="A7" s="2" t="s">
        <v>6</v>
      </c>
      <c r="B7" s="2"/>
      <c r="C7" s="2"/>
      <c r="D7" s="17"/>
      <c r="E7" s="17"/>
      <c r="F7" s="2"/>
    </row>
    <row r="8" spans="1:7" x14ac:dyDescent="0.35">
      <c r="A8" s="2" t="s">
        <v>7</v>
      </c>
      <c r="B8" s="2"/>
      <c r="C8" s="2"/>
      <c r="D8" s="17"/>
      <c r="E8" s="17"/>
      <c r="F8" s="2"/>
    </row>
    <row r="9" spans="1:7" x14ac:dyDescent="0.35">
      <c r="A9" s="2" t="s">
        <v>48</v>
      </c>
      <c r="G9" s="2"/>
    </row>
    <row r="10" spans="1:7" s="8" customFormat="1" x14ac:dyDescent="0.35">
      <c r="A10" s="7" t="s">
        <v>1</v>
      </c>
      <c r="B10" s="16" t="s">
        <v>17</v>
      </c>
      <c r="C10" s="16" t="s">
        <v>0</v>
      </c>
      <c r="D10" s="16" t="s">
        <v>30</v>
      </c>
      <c r="E10" s="16" t="s">
        <v>31</v>
      </c>
      <c r="F10" s="16" t="s">
        <v>32</v>
      </c>
      <c r="G10" s="16" t="s">
        <v>34</v>
      </c>
    </row>
    <row r="11" spans="1:7" x14ac:dyDescent="0.35">
      <c r="B11" t="s">
        <v>73</v>
      </c>
      <c r="C11" t="s">
        <v>196</v>
      </c>
      <c r="D11" s="20">
        <v>43108</v>
      </c>
      <c r="E11" s="20">
        <v>43108</v>
      </c>
      <c r="F11">
        <v>1</v>
      </c>
      <c r="G11" t="s">
        <v>45</v>
      </c>
    </row>
    <row r="12" spans="1:7" x14ac:dyDescent="0.35">
      <c r="B12" t="s">
        <v>73</v>
      </c>
      <c r="C12" t="s">
        <v>196</v>
      </c>
      <c r="D12" s="20">
        <v>43169</v>
      </c>
      <c r="E12" s="20">
        <v>43170</v>
      </c>
      <c r="F12">
        <v>2</v>
      </c>
    </row>
    <row r="13" spans="1:7" x14ac:dyDescent="0.35">
      <c r="B13" t="s">
        <v>73</v>
      </c>
      <c r="C13" t="s">
        <v>196</v>
      </c>
      <c r="D13" s="20">
        <v>41754</v>
      </c>
      <c r="E13" s="20">
        <v>41754</v>
      </c>
      <c r="F13">
        <v>1</v>
      </c>
    </row>
    <row r="14" spans="1:7" x14ac:dyDescent="0.35">
      <c r="B14" t="s">
        <v>73</v>
      </c>
      <c r="C14" t="s">
        <v>196</v>
      </c>
      <c r="D14" s="20">
        <v>42374</v>
      </c>
      <c r="E14" s="20">
        <v>42375</v>
      </c>
      <c r="F14">
        <v>2</v>
      </c>
    </row>
    <row r="15" spans="1:7" x14ac:dyDescent="0.35">
      <c r="B15" t="s">
        <v>200</v>
      </c>
      <c r="C15" t="s">
        <v>196</v>
      </c>
      <c r="D15" s="20">
        <v>42753</v>
      </c>
      <c r="E15" s="20">
        <v>42753</v>
      </c>
      <c r="F15">
        <v>2</v>
      </c>
    </row>
    <row r="16" spans="1:7" x14ac:dyDescent="0.35">
      <c r="B16" t="s">
        <v>200</v>
      </c>
      <c r="C16" t="s">
        <v>196</v>
      </c>
      <c r="D16" s="20">
        <v>42760</v>
      </c>
      <c r="E16" s="20">
        <v>42760</v>
      </c>
      <c r="F16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63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/>
    </sheetView>
  </sheetViews>
  <sheetFormatPr defaultColWidth="19.26953125" defaultRowHeight="14.5" x14ac:dyDescent="0.35"/>
  <cols>
    <col min="4" max="6" width="19.26953125" style="20"/>
    <col min="8" max="8" width="18.81640625" bestFit="1" customWidth="1"/>
  </cols>
  <sheetData>
    <row r="1" spans="1:8" x14ac:dyDescent="0.35">
      <c r="A1" s="1" t="s">
        <v>2</v>
      </c>
      <c r="B1" s="2" t="s">
        <v>49</v>
      </c>
      <c r="C1" s="2" t="s">
        <v>50</v>
      </c>
      <c r="D1" s="17" t="s">
        <v>56</v>
      </c>
      <c r="E1" s="17" t="s">
        <v>218</v>
      </c>
      <c r="F1" s="17" t="s">
        <v>219</v>
      </c>
      <c r="G1" s="17" t="s">
        <v>58</v>
      </c>
      <c r="H1" s="2" t="s">
        <v>63</v>
      </c>
    </row>
    <row r="2" spans="1:8" ht="78" x14ac:dyDescent="0.35">
      <c r="A2" s="1" t="s">
        <v>3</v>
      </c>
      <c r="B2" s="13" t="s">
        <v>65</v>
      </c>
      <c r="C2" s="13" t="s">
        <v>79</v>
      </c>
      <c r="D2" s="18" t="s">
        <v>57</v>
      </c>
      <c r="E2" s="18" t="s">
        <v>204</v>
      </c>
      <c r="F2" s="18" t="s">
        <v>205</v>
      </c>
      <c r="G2" s="13" t="s">
        <v>91</v>
      </c>
      <c r="H2" s="13" t="s">
        <v>92</v>
      </c>
    </row>
    <row r="3" spans="1:8" x14ac:dyDescent="0.35">
      <c r="A3" s="2" t="s">
        <v>4</v>
      </c>
      <c r="B3" s="2" t="s">
        <v>14</v>
      </c>
      <c r="C3" s="2" t="s">
        <v>15</v>
      </c>
      <c r="D3" s="17" t="s">
        <v>69</v>
      </c>
      <c r="E3" s="17" t="s">
        <v>69</v>
      </c>
      <c r="F3" s="17" t="s">
        <v>69</v>
      </c>
      <c r="G3" s="2" t="s">
        <v>12</v>
      </c>
      <c r="H3" s="2" t="s">
        <v>71</v>
      </c>
    </row>
    <row r="4" spans="1:8" x14ac:dyDescent="0.35">
      <c r="A4" s="2" t="s">
        <v>8</v>
      </c>
      <c r="B4" s="2" t="s">
        <v>11</v>
      </c>
      <c r="C4" s="2" t="s">
        <v>11</v>
      </c>
      <c r="D4" s="17" t="s">
        <v>11</v>
      </c>
      <c r="E4" s="17" t="s">
        <v>11</v>
      </c>
      <c r="F4" s="17" t="s">
        <v>11</v>
      </c>
      <c r="G4" s="2" t="s">
        <v>11</v>
      </c>
      <c r="H4" s="2"/>
    </row>
    <row r="5" spans="1:8" x14ac:dyDescent="0.35">
      <c r="A5" s="2" t="s">
        <v>16</v>
      </c>
      <c r="B5" s="2" t="s">
        <v>11</v>
      </c>
      <c r="C5" s="2" t="s">
        <v>11</v>
      </c>
      <c r="D5" s="17" t="s">
        <v>11</v>
      </c>
      <c r="E5" s="17" t="s">
        <v>11</v>
      </c>
      <c r="F5" s="17" t="s">
        <v>11</v>
      </c>
      <c r="G5" s="2" t="s">
        <v>11</v>
      </c>
      <c r="H5" s="2"/>
    </row>
    <row r="6" spans="1:8" x14ac:dyDescent="0.35">
      <c r="A6" s="2" t="s">
        <v>5</v>
      </c>
      <c r="B6" s="2"/>
      <c r="C6" s="2"/>
      <c r="D6" s="17"/>
      <c r="E6" s="17"/>
      <c r="F6" s="17"/>
      <c r="G6" s="10"/>
      <c r="H6" s="2"/>
    </row>
    <row r="7" spans="1:8" x14ac:dyDescent="0.35">
      <c r="A7" s="2" t="s">
        <v>6</v>
      </c>
      <c r="B7" s="2"/>
      <c r="C7" s="2"/>
      <c r="D7" s="17"/>
      <c r="E7" s="17"/>
      <c r="F7" s="17"/>
      <c r="G7" s="2"/>
    </row>
    <row r="8" spans="1:8" x14ac:dyDescent="0.35">
      <c r="A8" s="2" t="s">
        <v>7</v>
      </c>
      <c r="B8" s="2"/>
      <c r="C8" s="2"/>
      <c r="D8" s="17"/>
      <c r="E8" s="17"/>
      <c r="F8" s="17"/>
      <c r="G8" s="2"/>
    </row>
    <row r="9" spans="1:8" x14ac:dyDescent="0.35">
      <c r="A9" s="2" t="s">
        <v>48</v>
      </c>
      <c r="H9" s="2"/>
    </row>
    <row r="10" spans="1:8" s="8" customFormat="1" x14ac:dyDescent="0.35">
      <c r="A10" s="7" t="s">
        <v>1</v>
      </c>
      <c r="B10" s="16" t="s">
        <v>17</v>
      </c>
      <c r="C10" s="16" t="s">
        <v>0</v>
      </c>
      <c r="D10" s="16" t="s">
        <v>33</v>
      </c>
      <c r="E10" s="16" t="s">
        <v>27</v>
      </c>
      <c r="F10" s="16" t="s">
        <v>28</v>
      </c>
      <c r="G10" s="16" t="s">
        <v>29</v>
      </c>
      <c r="H10" s="16" t="s">
        <v>34</v>
      </c>
    </row>
    <row r="11" spans="1:8" x14ac:dyDescent="0.35">
      <c r="B11" t="s">
        <v>73</v>
      </c>
      <c r="C11" t="s">
        <v>196</v>
      </c>
      <c r="D11" s="21">
        <v>40910</v>
      </c>
      <c r="E11" s="21">
        <f>D11+7</f>
        <v>40917</v>
      </c>
      <c r="F11" s="21">
        <f>D11-7</f>
        <v>40903</v>
      </c>
      <c r="G11">
        <v>1</v>
      </c>
    </row>
    <row r="12" spans="1:8" x14ac:dyDescent="0.35">
      <c r="B12" t="s">
        <v>73</v>
      </c>
      <c r="C12" t="s">
        <v>196</v>
      </c>
      <c r="D12" s="21">
        <f>D11+7</f>
        <v>40917</v>
      </c>
      <c r="E12" s="21">
        <f t="shared" ref="E12:E75" si="0">D12+7</f>
        <v>40924</v>
      </c>
      <c r="F12" s="21">
        <f t="shared" ref="F12:F75" si="1">D12-7</f>
        <v>40910</v>
      </c>
      <c r="G12">
        <v>2</v>
      </c>
    </row>
    <row r="13" spans="1:8" x14ac:dyDescent="0.35">
      <c r="B13" t="s">
        <v>73</v>
      </c>
      <c r="C13" t="s">
        <v>196</v>
      </c>
      <c r="D13" s="21">
        <f t="shared" ref="D13:D76" si="2">D12+7</f>
        <v>40924</v>
      </c>
      <c r="E13" s="21">
        <f t="shared" si="0"/>
        <v>40931</v>
      </c>
      <c r="F13" s="21">
        <f t="shared" si="1"/>
        <v>40917</v>
      </c>
      <c r="G13">
        <v>3</v>
      </c>
    </row>
    <row r="14" spans="1:8" x14ac:dyDescent="0.35">
      <c r="B14" t="s">
        <v>73</v>
      </c>
      <c r="C14" t="s">
        <v>196</v>
      </c>
      <c r="D14" s="21">
        <f t="shared" si="2"/>
        <v>40931</v>
      </c>
      <c r="E14" s="21">
        <f t="shared" si="0"/>
        <v>40938</v>
      </c>
      <c r="F14" s="21">
        <f t="shared" si="1"/>
        <v>40924</v>
      </c>
      <c r="G14">
        <v>4</v>
      </c>
    </row>
    <row r="15" spans="1:8" x14ac:dyDescent="0.35">
      <c r="B15" t="s">
        <v>73</v>
      </c>
      <c r="C15" t="s">
        <v>196</v>
      </c>
      <c r="D15" s="21">
        <f t="shared" si="2"/>
        <v>40938</v>
      </c>
      <c r="E15" s="21">
        <f t="shared" si="0"/>
        <v>40945</v>
      </c>
      <c r="F15" s="21">
        <f t="shared" si="1"/>
        <v>40931</v>
      </c>
      <c r="G15">
        <v>5</v>
      </c>
    </row>
    <row r="16" spans="1:8" x14ac:dyDescent="0.35">
      <c r="B16" t="s">
        <v>73</v>
      </c>
      <c r="C16" t="s">
        <v>196</v>
      </c>
      <c r="D16" s="21">
        <f t="shared" si="2"/>
        <v>40945</v>
      </c>
      <c r="E16" s="21">
        <f t="shared" si="0"/>
        <v>40952</v>
      </c>
      <c r="F16" s="21">
        <f t="shared" si="1"/>
        <v>40938</v>
      </c>
      <c r="G16">
        <v>6</v>
      </c>
    </row>
    <row r="17" spans="2:7" x14ac:dyDescent="0.35">
      <c r="B17" t="s">
        <v>73</v>
      </c>
      <c r="C17" t="s">
        <v>196</v>
      </c>
      <c r="D17" s="21">
        <f t="shared" si="2"/>
        <v>40952</v>
      </c>
      <c r="E17" s="21">
        <f t="shared" si="0"/>
        <v>40959</v>
      </c>
      <c r="F17" s="21">
        <f t="shared" si="1"/>
        <v>40945</v>
      </c>
      <c r="G17">
        <v>7</v>
      </c>
    </row>
    <row r="18" spans="2:7" x14ac:dyDescent="0.35">
      <c r="B18" t="s">
        <v>73</v>
      </c>
      <c r="C18" t="s">
        <v>196</v>
      </c>
      <c r="D18" s="21">
        <f t="shared" si="2"/>
        <v>40959</v>
      </c>
      <c r="E18" s="21">
        <f t="shared" si="0"/>
        <v>40966</v>
      </c>
      <c r="F18" s="21">
        <f t="shared" si="1"/>
        <v>40952</v>
      </c>
      <c r="G18">
        <v>8</v>
      </c>
    </row>
    <row r="19" spans="2:7" x14ac:dyDescent="0.35">
      <c r="B19" t="s">
        <v>73</v>
      </c>
      <c r="C19" t="s">
        <v>196</v>
      </c>
      <c r="D19" s="21">
        <f t="shared" si="2"/>
        <v>40966</v>
      </c>
      <c r="E19" s="21">
        <f t="shared" si="0"/>
        <v>40973</v>
      </c>
      <c r="F19" s="21">
        <f t="shared" si="1"/>
        <v>40959</v>
      </c>
      <c r="G19">
        <v>9</v>
      </c>
    </row>
    <row r="20" spans="2:7" x14ac:dyDescent="0.35">
      <c r="B20" t="s">
        <v>73</v>
      </c>
      <c r="C20" t="s">
        <v>196</v>
      </c>
      <c r="D20" s="21">
        <f t="shared" si="2"/>
        <v>40973</v>
      </c>
      <c r="E20" s="21">
        <f t="shared" si="0"/>
        <v>40980</v>
      </c>
      <c r="F20" s="21">
        <f t="shared" si="1"/>
        <v>40966</v>
      </c>
      <c r="G20">
        <v>10</v>
      </c>
    </row>
    <row r="21" spans="2:7" x14ac:dyDescent="0.35">
      <c r="B21" t="s">
        <v>73</v>
      </c>
      <c r="C21" t="s">
        <v>196</v>
      </c>
      <c r="D21" s="21">
        <f t="shared" si="2"/>
        <v>40980</v>
      </c>
      <c r="E21" s="21">
        <f t="shared" si="0"/>
        <v>40987</v>
      </c>
      <c r="F21" s="21">
        <f t="shared" si="1"/>
        <v>40973</v>
      </c>
      <c r="G21">
        <v>11</v>
      </c>
    </row>
    <row r="22" spans="2:7" x14ac:dyDescent="0.35">
      <c r="B22" t="s">
        <v>73</v>
      </c>
      <c r="C22" t="s">
        <v>196</v>
      </c>
      <c r="D22" s="21">
        <f t="shared" si="2"/>
        <v>40987</v>
      </c>
      <c r="E22" s="21">
        <f t="shared" si="0"/>
        <v>40994</v>
      </c>
      <c r="F22" s="21">
        <f t="shared" si="1"/>
        <v>40980</v>
      </c>
      <c r="G22">
        <v>12</v>
      </c>
    </row>
    <row r="23" spans="2:7" x14ac:dyDescent="0.35">
      <c r="B23" t="s">
        <v>73</v>
      </c>
      <c r="C23" t="s">
        <v>196</v>
      </c>
      <c r="D23" s="21">
        <f t="shared" si="2"/>
        <v>40994</v>
      </c>
      <c r="E23" s="21">
        <f t="shared" si="0"/>
        <v>41001</v>
      </c>
      <c r="F23" s="21">
        <f t="shared" si="1"/>
        <v>40987</v>
      </c>
      <c r="G23">
        <v>13</v>
      </c>
    </row>
    <row r="24" spans="2:7" x14ac:dyDescent="0.35">
      <c r="B24" t="s">
        <v>73</v>
      </c>
      <c r="C24" t="s">
        <v>196</v>
      </c>
      <c r="D24" s="21">
        <f t="shared" si="2"/>
        <v>41001</v>
      </c>
      <c r="E24" s="21">
        <f t="shared" si="0"/>
        <v>41008</v>
      </c>
      <c r="F24" s="21">
        <f t="shared" si="1"/>
        <v>40994</v>
      </c>
      <c r="G24">
        <v>14</v>
      </c>
    </row>
    <row r="25" spans="2:7" x14ac:dyDescent="0.35">
      <c r="B25" t="s">
        <v>73</v>
      </c>
      <c r="C25" t="s">
        <v>196</v>
      </c>
      <c r="D25" s="21">
        <f t="shared" si="2"/>
        <v>41008</v>
      </c>
      <c r="E25" s="21">
        <f t="shared" si="0"/>
        <v>41015</v>
      </c>
      <c r="F25" s="21">
        <f t="shared" si="1"/>
        <v>41001</v>
      </c>
      <c r="G25">
        <v>15</v>
      </c>
    </row>
    <row r="26" spans="2:7" x14ac:dyDescent="0.35">
      <c r="B26" t="s">
        <v>73</v>
      </c>
      <c r="C26" t="s">
        <v>196</v>
      </c>
      <c r="D26" s="21">
        <f t="shared" si="2"/>
        <v>41015</v>
      </c>
      <c r="E26" s="21">
        <f t="shared" si="0"/>
        <v>41022</v>
      </c>
      <c r="F26" s="21">
        <f t="shared" si="1"/>
        <v>41008</v>
      </c>
      <c r="G26">
        <v>16</v>
      </c>
    </row>
    <row r="27" spans="2:7" x14ac:dyDescent="0.35">
      <c r="B27" t="s">
        <v>73</v>
      </c>
      <c r="C27" t="s">
        <v>196</v>
      </c>
      <c r="D27" s="21">
        <f t="shared" si="2"/>
        <v>41022</v>
      </c>
      <c r="E27" s="21">
        <f t="shared" si="0"/>
        <v>41029</v>
      </c>
      <c r="F27" s="21">
        <f t="shared" si="1"/>
        <v>41015</v>
      </c>
      <c r="G27">
        <v>17</v>
      </c>
    </row>
    <row r="28" spans="2:7" x14ac:dyDescent="0.35">
      <c r="B28" t="s">
        <v>73</v>
      </c>
      <c r="C28" t="s">
        <v>196</v>
      </c>
      <c r="D28" s="21">
        <f t="shared" si="2"/>
        <v>41029</v>
      </c>
      <c r="E28" s="21">
        <f t="shared" si="0"/>
        <v>41036</v>
      </c>
      <c r="F28" s="21">
        <f t="shared" si="1"/>
        <v>41022</v>
      </c>
      <c r="G28">
        <v>18</v>
      </c>
    </row>
    <row r="29" spans="2:7" x14ac:dyDescent="0.35">
      <c r="B29" t="s">
        <v>73</v>
      </c>
      <c r="C29" t="s">
        <v>196</v>
      </c>
      <c r="D29" s="21">
        <f t="shared" si="2"/>
        <v>41036</v>
      </c>
      <c r="E29" s="21">
        <f t="shared" si="0"/>
        <v>41043</v>
      </c>
      <c r="F29" s="21">
        <f t="shared" si="1"/>
        <v>41029</v>
      </c>
      <c r="G29">
        <v>19</v>
      </c>
    </row>
    <row r="30" spans="2:7" x14ac:dyDescent="0.35">
      <c r="B30" t="s">
        <v>73</v>
      </c>
      <c r="C30" t="s">
        <v>196</v>
      </c>
      <c r="D30" s="21">
        <f t="shared" si="2"/>
        <v>41043</v>
      </c>
      <c r="E30" s="21">
        <f t="shared" si="0"/>
        <v>41050</v>
      </c>
      <c r="F30" s="21">
        <f t="shared" si="1"/>
        <v>41036</v>
      </c>
      <c r="G30">
        <v>20</v>
      </c>
    </row>
    <row r="31" spans="2:7" x14ac:dyDescent="0.35">
      <c r="B31" t="s">
        <v>73</v>
      </c>
      <c r="C31" t="s">
        <v>196</v>
      </c>
      <c r="D31" s="21">
        <f t="shared" si="2"/>
        <v>41050</v>
      </c>
      <c r="E31" s="21">
        <f t="shared" si="0"/>
        <v>41057</v>
      </c>
      <c r="F31" s="21">
        <f t="shared" si="1"/>
        <v>41043</v>
      </c>
      <c r="G31">
        <v>21</v>
      </c>
    </row>
    <row r="32" spans="2:7" x14ac:dyDescent="0.35">
      <c r="B32" t="s">
        <v>73</v>
      </c>
      <c r="C32" t="s">
        <v>196</v>
      </c>
      <c r="D32" s="21">
        <f t="shared" si="2"/>
        <v>41057</v>
      </c>
      <c r="E32" s="21">
        <f t="shared" si="0"/>
        <v>41064</v>
      </c>
      <c r="F32" s="21">
        <f t="shared" si="1"/>
        <v>41050</v>
      </c>
      <c r="G32">
        <v>22</v>
      </c>
    </row>
    <row r="33" spans="2:7" x14ac:dyDescent="0.35">
      <c r="B33" t="s">
        <v>73</v>
      </c>
      <c r="C33" t="s">
        <v>196</v>
      </c>
      <c r="D33" s="21">
        <f t="shared" si="2"/>
        <v>41064</v>
      </c>
      <c r="E33" s="21">
        <f t="shared" si="0"/>
        <v>41071</v>
      </c>
      <c r="F33" s="21">
        <f t="shared" si="1"/>
        <v>41057</v>
      </c>
      <c r="G33">
        <v>23</v>
      </c>
    </row>
    <row r="34" spans="2:7" x14ac:dyDescent="0.35">
      <c r="B34" t="s">
        <v>73</v>
      </c>
      <c r="C34" t="s">
        <v>196</v>
      </c>
      <c r="D34" s="21">
        <f t="shared" si="2"/>
        <v>41071</v>
      </c>
      <c r="E34" s="21">
        <f t="shared" si="0"/>
        <v>41078</v>
      </c>
      <c r="F34" s="21">
        <f t="shared" si="1"/>
        <v>41064</v>
      </c>
      <c r="G34">
        <v>24</v>
      </c>
    </row>
    <row r="35" spans="2:7" x14ac:dyDescent="0.35">
      <c r="B35" t="s">
        <v>73</v>
      </c>
      <c r="C35" t="s">
        <v>196</v>
      </c>
      <c r="D35" s="21">
        <f t="shared" si="2"/>
        <v>41078</v>
      </c>
      <c r="E35" s="21">
        <f t="shared" si="0"/>
        <v>41085</v>
      </c>
      <c r="F35" s="21">
        <f t="shared" si="1"/>
        <v>41071</v>
      </c>
      <c r="G35">
        <v>25</v>
      </c>
    </row>
    <row r="36" spans="2:7" x14ac:dyDescent="0.35">
      <c r="B36" t="s">
        <v>73</v>
      </c>
      <c r="C36" t="s">
        <v>196</v>
      </c>
      <c r="D36" s="21">
        <f t="shared" si="2"/>
        <v>41085</v>
      </c>
      <c r="E36" s="21">
        <f t="shared" si="0"/>
        <v>41092</v>
      </c>
      <c r="F36" s="21">
        <f t="shared" si="1"/>
        <v>41078</v>
      </c>
      <c r="G36">
        <v>26</v>
      </c>
    </row>
    <row r="37" spans="2:7" x14ac:dyDescent="0.35">
      <c r="B37" t="s">
        <v>73</v>
      </c>
      <c r="C37" t="s">
        <v>196</v>
      </c>
      <c r="D37" s="21">
        <f t="shared" si="2"/>
        <v>41092</v>
      </c>
      <c r="E37" s="21">
        <f t="shared" si="0"/>
        <v>41099</v>
      </c>
      <c r="F37" s="21">
        <f t="shared" si="1"/>
        <v>41085</v>
      </c>
      <c r="G37">
        <v>27</v>
      </c>
    </row>
    <row r="38" spans="2:7" x14ac:dyDescent="0.35">
      <c r="B38" t="s">
        <v>73</v>
      </c>
      <c r="C38" t="s">
        <v>196</v>
      </c>
      <c r="D38" s="21">
        <f t="shared" si="2"/>
        <v>41099</v>
      </c>
      <c r="E38" s="21">
        <f t="shared" si="0"/>
        <v>41106</v>
      </c>
      <c r="F38" s="21">
        <f t="shared" si="1"/>
        <v>41092</v>
      </c>
      <c r="G38">
        <v>28</v>
      </c>
    </row>
    <row r="39" spans="2:7" x14ac:dyDescent="0.35">
      <c r="B39" t="s">
        <v>73</v>
      </c>
      <c r="C39" t="s">
        <v>196</v>
      </c>
      <c r="D39" s="21">
        <f t="shared" si="2"/>
        <v>41106</v>
      </c>
      <c r="E39" s="21">
        <f t="shared" si="0"/>
        <v>41113</v>
      </c>
      <c r="F39" s="21">
        <f t="shared" si="1"/>
        <v>41099</v>
      </c>
      <c r="G39">
        <v>29</v>
      </c>
    </row>
    <row r="40" spans="2:7" x14ac:dyDescent="0.35">
      <c r="B40" t="s">
        <v>73</v>
      </c>
      <c r="C40" t="s">
        <v>196</v>
      </c>
      <c r="D40" s="21">
        <f t="shared" si="2"/>
        <v>41113</v>
      </c>
      <c r="E40" s="21">
        <f t="shared" si="0"/>
        <v>41120</v>
      </c>
      <c r="F40" s="21">
        <f t="shared" si="1"/>
        <v>41106</v>
      </c>
      <c r="G40">
        <v>30</v>
      </c>
    </row>
    <row r="41" spans="2:7" x14ac:dyDescent="0.35">
      <c r="B41" t="s">
        <v>73</v>
      </c>
      <c r="C41" t="s">
        <v>196</v>
      </c>
      <c r="D41" s="21">
        <f t="shared" si="2"/>
        <v>41120</v>
      </c>
      <c r="E41" s="21">
        <f t="shared" si="0"/>
        <v>41127</v>
      </c>
      <c r="F41" s="21">
        <f t="shared" si="1"/>
        <v>41113</v>
      </c>
      <c r="G41">
        <v>31</v>
      </c>
    </row>
    <row r="42" spans="2:7" x14ac:dyDescent="0.35">
      <c r="B42" t="s">
        <v>73</v>
      </c>
      <c r="C42" t="s">
        <v>196</v>
      </c>
      <c r="D42" s="21">
        <f t="shared" si="2"/>
        <v>41127</v>
      </c>
      <c r="E42" s="21">
        <f t="shared" si="0"/>
        <v>41134</v>
      </c>
      <c r="F42" s="21">
        <f t="shared" si="1"/>
        <v>41120</v>
      </c>
      <c r="G42">
        <v>32</v>
      </c>
    </row>
    <row r="43" spans="2:7" x14ac:dyDescent="0.35">
      <c r="B43" t="s">
        <v>73</v>
      </c>
      <c r="C43" t="s">
        <v>196</v>
      </c>
      <c r="D43" s="21">
        <f t="shared" si="2"/>
        <v>41134</v>
      </c>
      <c r="E43" s="21">
        <f t="shared" si="0"/>
        <v>41141</v>
      </c>
      <c r="F43" s="21">
        <f t="shared" si="1"/>
        <v>41127</v>
      </c>
      <c r="G43">
        <v>33</v>
      </c>
    </row>
    <row r="44" spans="2:7" x14ac:dyDescent="0.35">
      <c r="B44" t="s">
        <v>73</v>
      </c>
      <c r="C44" t="s">
        <v>196</v>
      </c>
      <c r="D44" s="21">
        <f t="shared" si="2"/>
        <v>41141</v>
      </c>
      <c r="E44" s="21">
        <f t="shared" si="0"/>
        <v>41148</v>
      </c>
      <c r="F44" s="21">
        <f t="shared" si="1"/>
        <v>41134</v>
      </c>
      <c r="G44">
        <v>34</v>
      </c>
    </row>
    <row r="45" spans="2:7" x14ac:dyDescent="0.35">
      <c r="B45" t="s">
        <v>73</v>
      </c>
      <c r="C45" t="s">
        <v>196</v>
      </c>
      <c r="D45" s="21">
        <f t="shared" si="2"/>
        <v>41148</v>
      </c>
      <c r="E45" s="21">
        <f t="shared" si="0"/>
        <v>41155</v>
      </c>
      <c r="F45" s="21">
        <f t="shared" si="1"/>
        <v>41141</v>
      </c>
      <c r="G45">
        <v>35</v>
      </c>
    </row>
    <row r="46" spans="2:7" x14ac:dyDescent="0.35">
      <c r="B46" t="s">
        <v>73</v>
      </c>
      <c r="C46" t="s">
        <v>196</v>
      </c>
      <c r="D46" s="21">
        <f t="shared" si="2"/>
        <v>41155</v>
      </c>
      <c r="E46" s="21">
        <f t="shared" si="0"/>
        <v>41162</v>
      </c>
      <c r="F46" s="21">
        <f t="shared" si="1"/>
        <v>41148</v>
      </c>
      <c r="G46">
        <v>36</v>
      </c>
    </row>
    <row r="47" spans="2:7" x14ac:dyDescent="0.35">
      <c r="B47" t="s">
        <v>73</v>
      </c>
      <c r="C47" t="s">
        <v>196</v>
      </c>
      <c r="D47" s="21">
        <f t="shared" si="2"/>
        <v>41162</v>
      </c>
      <c r="E47" s="21">
        <f t="shared" si="0"/>
        <v>41169</v>
      </c>
      <c r="F47" s="21">
        <f t="shared" si="1"/>
        <v>41155</v>
      </c>
      <c r="G47">
        <v>37</v>
      </c>
    </row>
    <row r="48" spans="2:7" x14ac:dyDescent="0.35">
      <c r="B48" t="s">
        <v>73</v>
      </c>
      <c r="C48" t="s">
        <v>196</v>
      </c>
      <c r="D48" s="21">
        <f t="shared" si="2"/>
        <v>41169</v>
      </c>
      <c r="E48" s="21">
        <f t="shared" si="0"/>
        <v>41176</v>
      </c>
      <c r="F48" s="21">
        <f t="shared" si="1"/>
        <v>41162</v>
      </c>
      <c r="G48">
        <v>38</v>
      </c>
    </row>
    <row r="49" spans="2:7" x14ac:dyDescent="0.35">
      <c r="B49" t="s">
        <v>73</v>
      </c>
      <c r="C49" t="s">
        <v>196</v>
      </c>
      <c r="D49" s="21">
        <f t="shared" si="2"/>
        <v>41176</v>
      </c>
      <c r="E49" s="21">
        <f t="shared" si="0"/>
        <v>41183</v>
      </c>
      <c r="F49" s="21">
        <f t="shared" si="1"/>
        <v>41169</v>
      </c>
      <c r="G49">
        <v>39</v>
      </c>
    </row>
    <row r="50" spans="2:7" x14ac:dyDescent="0.35">
      <c r="B50" t="s">
        <v>73</v>
      </c>
      <c r="C50" t="s">
        <v>196</v>
      </c>
      <c r="D50" s="21">
        <f t="shared" si="2"/>
        <v>41183</v>
      </c>
      <c r="E50" s="21">
        <f t="shared" si="0"/>
        <v>41190</v>
      </c>
      <c r="F50" s="21">
        <f t="shared" si="1"/>
        <v>41176</v>
      </c>
      <c r="G50">
        <v>40</v>
      </c>
    </row>
    <row r="51" spans="2:7" x14ac:dyDescent="0.35">
      <c r="B51" t="s">
        <v>73</v>
      </c>
      <c r="C51" t="s">
        <v>196</v>
      </c>
      <c r="D51" s="21">
        <f t="shared" si="2"/>
        <v>41190</v>
      </c>
      <c r="E51" s="21">
        <f t="shared" si="0"/>
        <v>41197</v>
      </c>
      <c r="F51" s="21">
        <f t="shared" si="1"/>
        <v>41183</v>
      </c>
      <c r="G51">
        <v>41</v>
      </c>
    </row>
    <row r="52" spans="2:7" x14ac:dyDescent="0.35">
      <c r="B52" t="s">
        <v>73</v>
      </c>
      <c r="C52" t="s">
        <v>196</v>
      </c>
      <c r="D52" s="21">
        <f t="shared" si="2"/>
        <v>41197</v>
      </c>
      <c r="E52" s="21">
        <f t="shared" si="0"/>
        <v>41204</v>
      </c>
      <c r="F52" s="21">
        <f t="shared" si="1"/>
        <v>41190</v>
      </c>
      <c r="G52">
        <v>42</v>
      </c>
    </row>
    <row r="53" spans="2:7" x14ac:dyDescent="0.35">
      <c r="B53" t="s">
        <v>73</v>
      </c>
      <c r="C53" t="s">
        <v>196</v>
      </c>
      <c r="D53" s="21">
        <f t="shared" si="2"/>
        <v>41204</v>
      </c>
      <c r="E53" s="21">
        <f t="shared" si="0"/>
        <v>41211</v>
      </c>
      <c r="F53" s="21">
        <f t="shared" si="1"/>
        <v>41197</v>
      </c>
      <c r="G53">
        <v>43</v>
      </c>
    </row>
    <row r="54" spans="2:7" x14ac:dyDescent="0.35">
      <c r="B54" t="s">
        <v>73</v>
      </c>
      <c r="C54" t="s">
        <v>196</v>
      </c>
      <c r="D54" s="21">
        <f t="shared" si="2"/>
        <v>41211</v>
      </c>
      <c r="E54" s="21">
        <f t="shared" si="0"/>
        <v>41218</v>
      </c>
      <c r="F54" s="21">
        <f t="shared" si="1"/>
        <v>41204</v>
      </c>
      <c r="G54">
        <v>44</v>
      </c>
    </row>
    <row r="55" spans="2:7" x14ac:dyDescent="0.35">
      <c r="B55" t="s">
        <v>73</v>
      </c>
      <c r="C55" t="s">
        <v>196</v>
      </c>
      <c r="D55" s="21">
        <f t="shared" si="2"/>
        <v>41218</v>
      </c>
      <c r="E55" s="21">
        <f t="shared" si="0"/>
        <v>41225</v>
      </c>
      <c r="F55" s="21">
        <f t="shared" si="1"/>
        <v>41211</v>
      </c>
      <c r="G55">
        <v>45</v>
      </c>
    </row>
    <row r="56" spans="2:7" x14ac:dyDescent="0.35">
      <c r="B56" t="s">
        <v>73</v>
      </c>
      <c r="C56" t="s">
        <v>196</v>
      </c>
      <c r="D56" s="21">
        <f t="shared" si="2"/>
        <v>41225</v>
      </c>
      <c r="E56" s="21">
        <f t="shared" si="0"/>
        <v>41232</v>
      </c>
      <c r="F56" s="21">
        <f t="shared" si="1"/>
        <v>41218</v>
      </c>
      <c r="G56">
        <v>46</v>
      </c>
    </row>
    <row r="57" spans="2:7" x14ac:dyDescent="0.35">
      <c r="B57" t="s">
        <v>73</v>
      </c>
      <c r="C57" t="s">
        <v>196</v>
      </c>
      <c r="D57" s="21">
        <f t="shared" si="2"/>
        <v>41232</v>
      </c>
      <c r="E57" s="21">
        <f t="shared" si="0"/>
        <v>41239</v>
      </c>
      <c r="F57" s="21">
        <f t="shared" si="1"/>
        <v>41225</v>
      </c>
      <c r="G57">
        <v>47</v>
      </c>
    </row>
    <row r="58" spans="2:7" x14ac:dyDescent="0.35">
      <c r="B58" t="s">
        <v>73</v>
      </c>
      <c r="C58" t="s">
        <v>196</v>
      </c>
      <c r="D58" s="21">
        <f t="shared" si="2"/>
        <v>41239</v>
      </c>
      <c r="E58" s="21">
        <f t="shared" si="0"/>
        <v>41246</v>
      </c>
      <c r="F58" s="21">
        <f t="shared" si="1"/>
        <v>41232</v>
      </c>
      <c r="G58">
        <v>48</v>
      </c>
    </row>
    <row r="59" spans="2:7" x14ac:dyDescent="0.35">
      <c r="B59" t="s">
        <v>73</v>
      </c>
      <c r="C59" t="s">
        <v>196</v>
      </c>
      <c r="D59" s="21">
        <f t="shared" si="2"/>
        <v>41246</v>
      </c>
      <c r="E59" s="21">
        <f t="shared" si="0"/>
        <v>41253</v>
      </c>
      <c r="F59" s="21">
        <f t="shared" si="1"/>
        <v>41239</v>
      </c>
      <c r="G59">
        <v>49</v>
      </c>
    </row>
    <row r="60" spans="2:7" x14ac:dyDescent="0.35">
      <c r="B60" t="s">
        <v>73</v>
      </c>
      <c r="C60" t="s">
        <v>196</v>
      </c>
      <c r="D60" s="21">
        <f t="shared" si="2"/>
        <v>41253</v>
      </c>
      <c r="E60" s="21">
        <f t="shared" si="0"/>
        <v>41260</v>
      </c>
      <c r="F60" s="21">
        <f t="shared" si="1"/>
        <v>41246</v>
      </c>
      <c r="G60">
        <v>50</v>
      </c>
    </row>
    <row r="61" spans="2:7" x14ac:dyDescent="0.35">
      <c r="B61" t="s">
        <v>73</v>
      </c>
      <c r="C61" t="s">
        <v>196</v>
      </c>
      <c r="D61" s="21">
        <f t="shared" si="2"/>
        <v>41260</v>
      </c>
      <c r="E61" s="21">
        <f t="shared" si="0"/>
        <v>41267</v>
      </c>
      <c r="F61" s="21">
        <f t="shared" si="1"/>
        <v>41253</v>
      </c>
      <c r="G61">
        <v>51</v>
      </c>
    </row>
    <row r="62" spans="2:7" x14ac:dyDescent="0.35">
      <c r="B62" t="s">
        <v>73</v>
      </c>
      <c r="C62" t="s">
        <v>196</v>
      </c>
      <c r="D62" s="21">
        <f t="shared" si="2"/>
        <v>41267</v>
      </c>
      <c r="E62" s="21">
        <f t="shared" si="0"/>
        <v>41274</v>
      </c>
      <c r="F62" s="21">
        <f t="shared" si="1"/>
        <v>41260</v>
      </c>
      <c r="G62">
        <v>52</v>
      </c>
    </row>
    <row r="63" spans="2:7" x14ac:dyDescent="0.35">
      <c r="B63" t="s">
        <v>73</v>
      </c>
      <c r="C63" t="s">
        <v>196</v>
      </c>
      <c r="D63" s="21">
        <f t="shared" si="2"/>
        <v>41274</v>
      </c>
      <c r="E63" s="21">
        <f t="shared" si="0"/>
        <v>41281</v>
      </c>
      <c r="F63" s="21">
        <f t="shared" si="1"/>
        <v>41267</v>
      </c>
      <c r="G63">
        <v>53</v>
      </c>
    </row>
    <row r="64" spans="2:7" x14ac:dyDescent="0.35">
      <c r="B64" t="s">
        <v>73</v>
      </c>
      <c r="C64" t="s">
        <v>196</v>
      </c>
      <c r="D64" s="21">
        <f t="shared" si="2"/>
        <v>41281</v>
      </c>
      <c r="E64" s="21">
        <f t="shared" si="0"/>
        <v>41288</v>
      </c>
      <c r="F64" s="21">
        <f t="shared" si="1"/>
        <v>41274</v>
      </c>
      <c r="G64">
        <v>54</v>
      </c>
    </row>
    <row r="65" spans="2:7" x14ac:dyDescent="0.35">
      <c r="B65" t="s">
        <v>73</v>
      </c>
      <c r="C65" t="s">
        <v>196</v>
      </c>
      <c r="D65" s="21">
        <f t="shared" si="2"/>
        <v>41288</v>
      </c>
      <c r="E65" s="21">
        <f t="shared" si="0"/>
        <v>41295</v>
      </c>
      <c r="F65" s="21">
        <f t="shared" si="1"/>
        <v>41281</v>
      </c>
      <c r="G65">
        <v>55</v>
      </c>
    </row>
    <row r="66" spans="2:7" x14ac:dyDescent="0.35">
      <c r="B66" t="s">
        <v>73</v>
      </c>
      <c r="C66" t="s">
        <v>196</v>
      </c>
      <c r="D66" s="21">
        <f t="shared" si="2"/>
        <v>41295</v>
      </c>
      <c r="E66" s="21">
        <f t="shared" si="0"/>
        <v>41302</v>
      </c>
      <c r="F66" s="21">
        <f t="shared" si="1"/>
        <v>41288</v>
      </c>
      <c r="G66">
        <v>56</v>
      </c>
    </row>
    <row r="67" spans="2:7" x14ac:dyDescent="0.35">
      <c r="B67" t="s">
        <v>73</v>
      </c>
      <c r="C67" t="s">
        <v>196</v>
      </c>
      <c r="D67" s="21">
        <f t="shared" si="2"/>
        <v>41302</v>
      </c>
      <c r="E67" s="21">
        <f t="shared" si="0"/>
        <v>41309</v>
      </c>
      <c r="F67" s="21">
        <f t="shared" si="1"/>
        <v>41295</v>
      </c>
      <c r="G67">
        <v>57</v>
      </c>
    </row>
    <row r="68" spans="2:7" x14ac:dyDescent="0.35">
      <c r="B68" t="s">
        <v>73</v>
      </c>
      <c r="C68" t="s">
        <v>196</v>
      </c>
      <c r="D68" s="21">
        <f t="shared" si="2"/>
        <v>41309</v>
      </c>
      <c r="E68" s="21">
        <f t="shared" si="0"/>
        <v>41316</v>
      </c>
      <c r="F68" s="21">
        <f t="shared" si="1"/>
        <v>41302</v>
      </c>
      <c r="G68">
        <v>58</v>
      </c>
    </row>
    <row r="69" spans="2:7" x14ac:dyDescent="0.35">
      <c r="B69" t="s">
        <v>73</v>
      </c>
      <c r="C69" t="s">
        <v>196</v>
      </c>
      <c r="D69" s="21">
        <f t="shared" si="2"/>
        <v>41316</v>
      </c>
      <c r="E69" s="21">
        <f t="shared" si="0"/>
        <v>41323</v>
      </c>
      <c r="F69" s="21">
        <f t="shared" si="1"/>
        <v>41309</v>
      </c>
      <c r="G69">
        <v>59</v>
      </c>
    </row>
    <row r="70" spans="2:7" x14ac:dyDescent="0.35">
      <c r="B70" t="s">
        <v>73</v>
      </c>
      <c r="C70" t="s">
        <v>196</v>
      </c>
      <c r="D70" s="21">
        <f t="shared" si="2"/>
        <v>41323</v>
      </c>
      <c r="E70" s="21">
        <f t="shared" si="0"/>
        <v>41330</v>
      </c>
      <c r="F70" s="21">
        <f t="shared" si="1"/>
        <v>41316</v>
      </c>
      <c r="G70">
        <v>60</v>
      </c>
    </row>
    <row r="71" spans="2:7" x14ac:dyDescent="0.35">
      <c r="B71" t="s">
        <v>73</v>
      </c>
      <c r="C71" t="s">
        <v>196</v>
      </c>
      <c r="D71" s="21">
        <f t="shared" si="2"/>
        <v>41330</v>
      </c>
      <c r="E71" s="21">
        <f t="shared" si="0"/>
        <v>41337</v>
      </c>
      <c r="F71" s="21">
        <f t="shared" si="1"/>
        <v>41323</v>
      </c>
      <c r="G71">
        <v>61</v>
      </c>
    </row>
    <row r="72" spans="2:7" x14ac:dyDescent="0.35">
      <c r="B72" t="s">
        <v>73</v>
      </c>
      <c r="C72" t="s">
        <v>196</v>
      </c>
      <c r="D72" s="21">
        <f t="shared" si="2"/>
        <v>41337</v>
      </c>
      <c r="E72" s="21">
        <f t="shared" si="0"/>
        <v>41344</v>
      </c>
      <c r="F72" s="21">
        <f t="shared" si="1"/>
        <v>41330</v>
      </c>
      <c r="G72">
        <v>62</v>
      </c>
    </row>
    <row r="73" spans="2:7" x14ac:dyDescent="0.35">
      <c r="B73" t="s">
        <v>73</v>
      </c>
      <c r="C73" t="s">
        <v>196</v>
      </c>
      <c r="D73" s="21">
        <f t="shared" si="2"/>
        <v>41344</v>
      </c>
      <c r="E73" s="21">
        <f t="shared" si="0"/>
        <v>41351</v>
      </c>
      <c r="F73" s="21">
        <f t="shared" si="1"/>
        <v>41337</v>
      </c>
      <c r="G73">
        <v>63</v>
      </c>
    </row>
    <row r="74" spans="2:7" x14ac:dyDescent="0.35">
      <c r="B74" t="s">
        <v>73</v>
      </c>
      <c r="C74" t="s">
        <v>196</v>
      </c>
      <c r="D74" s="21">
        <f t="shared" si="2"/>
        <v>41351</v>
      </c>
      <c r="E74" s="21">
        <f t="shared" si="0"/>
        <v>41358</v>
      </c>
      <c r="F74" s="21">
        <f t="shared" si="1"/>
        <v>41344</v>
      </c>
      <c r="G74">
        <v>64</v>
      </c>
    </row>
    <row r="75" spans="2:7" x14ac:dyDescent="0.35">
      <c r="B75" t="s">
        <v>73</v>
      </c>
      <c r="C75" t="s">
        <v>196</v>
      </c>
      <c r="D75" s="21">
        <f t="shared" si="2"/>
        <v>41358</v>
      </c>
      <c r="E75" s="21">
        <f t="shared" si="0"/>
        <v>41365</v>
      </c>
      <c r="F75" s="21">
        <f t="shared" si="1"/>
        <v>41351</v>
      </c>
      <c r="G75">
        <v>65</v>
      </c>
    </row>
    <row r="76" spans="2:7" x14ac:dyDescent="0.35">
      <c r="B76" t="s">
        <v>73</v>
      </c>
      <c r="C76" t="s">
        <v>196</v>
      </c>
      <c r="D76" s="21">
        <f t="shared" si="2"/>
        <v>41365</v>
      </c>
      <c r="E76" s="21">
        <f t="shared" ref="E76:E139" si="3">D76+7</f>
        <v>41372</v>
      </c>
      <c r="F76" s="21">
        <f t="shared" ref="F76:F139" si="4">D76-7</f>
        <v>41358</v>
      </c>
      <c r="G76">
        <v>66</v>
      </c>
    </row>
    <row r="77" spans="2:7" x14ac:dyDescent="0.35">
      <c r="B77" t="s">
        <v>73</v>
      </c>
      <c r="C77" t="s">
        <v>196</v>
      </c>
      <c r="D77" s="21">
        <f t="shared" ref="D77:D86" si="5">D76+7</f>
        <v>41372</v>
      </c>
      <c r="E77" s="21">
        <f t="shared" si="3"/>
        <v>41379</v>
      </c>
      <c r="F77" s="21">
        <f t="shared" si="4"/>
        <v>41365</v>
      </c>
      <c r="G77">
        <v>67</v>
      </c>
    </row>
    <row r="78" spans="2:7" x14ac:dyDescent="0.35">
      <c r="B78" t="s">
        <v>73</v>
      </c>
      <c r="C78" t="s">
        <v>196</v>
      </c>
      <c r="D78" s="21">
        <f t="shared" si="5"/>
        <v>41379</v>
      </c>
      <c r="E78" s="21">
        <f t="shared" si="3"/>
        <v>41386</v>
      </c>
      <c r="F78" s="21">
        <f t="shared" si="4"/>
        <v>41372</v>
      </c>
      <c r="G78">
        <v>68</v>
      </c>
    </row>
    <row r="79" spans="2:7" x14ac:dyDescent="0.35">
      <c r="B79" t="s">
        <v>73</v>
      </c>
      <c r="C79" t="s">
        <v>196</v>
      </c>
      <c r="D79" s="21">
        <f t="shared" si="5"/>
        <v>41386</v>
      </c>
      <c r="E79" s="21">
        <f t="shared" si="3"/>
        <v>41393</v>
      </c>
      <c r="F79" s="21">
        <f t="shared" si="4"/>
        <v>41379</v>
      </c>
      <c r="G79">
        <v>69</v>
      </c>
    </row>
    <row r="80" spans="2:7" x14ac:dyDescent="0.35">
      <c r="B80" t="s">
        <v>73</v>
      </c>
      <c r="C80" t="s">
        <v>196</v>
      </c>
      <c r="D80" s="21">
        <f t="shared" si="5"/>
        <v>41393</v>
      </c>
      <c r="E80" s="21">
        <f t="shared" si="3"/>
        <v>41400</v>
      </c>
      <c r="F80" s="21">
        <f t="shared" si="4"/>
        <v>41386</v>
      </c>
      <c r="G80">
        <v>70</v>
      </c>
    </row>
    <row r="81" spans="2:7" x14ac:dyDescent="0.35">
      <c r="B81" t="s">
        <v>73</v>
      </c>
      <c r="C81" t="s">
        <v>196</v>
      </c>
      <c r="D81" s="21">
        <f t="shared" si="5"/>
        <v>41400</v>
      </c>
      <c r="E81" s="21">
        <f t="shared" si="3"/>
        <v>41407</v>
      </c>
      <c r="F81" s="21">
        <f t="shared" si="4"/>
        <v>41393</v>
      </c>
      <c r="G81">
        <v>71</v>
      </c>
    </row>
    <row r="82" spans="2:7" x14ac:dyDescent="0.35">
      <c r="B82" t="s">
        <v>73</v>
      </c>
      <c r="C82" t="s">
        <v>196</v>
      </c>
      <c r="D82" s="21">
        <f t="shared" si="5"/>
        <v>41407</v>
      </c>
      <c r="E82" s="21">
        <f t="shared" si="3"/>
        <v>41414</v>
      </c>
      <c r="F82" s="21">
        <f t="shared" si="4"/>
        <v>41400</v>
      </c>
      <c r="G82">
        <v>72</v>
      </c>
    </row>
    <row r="83" spans="2:7" x14ac:dyDescent="0.35">
      <c r="B83" t="s">
        <v>73</v>
      </c>
      <c r="C83" t="s">
        <v>196</v>
      </c>
      <c r="D83" s="21">
        <f t="shared" si="5"/>
        <v>41414</v>
      </c>
      <c r="E83" s="21">
        <f t="shared" si="3"/>
        <v>41421</v>
      </c>
      <c r="F83" s="21">
        <f t="shared" si="4"/>
        <v>41407</v>
      </c>
      <c r="G83">
        <v>73</v>
      </c>
    </row>
    <row r="84" spans="2:7" x14ac:dyDescent="0.35">
      <c r="B84" t="s">
        <v>73</v>
      </c>
      <c r="C84" t="s">
        <v>196</v>
      </c>
      <c r="D84" s="21">
        <f t="shared" si="5"/>
        <v>41421</v>
      </c>
      <c r="E84" s="21">
        <f t="shared" si="3"/>
        <v>41428</v>
      </c>
      <c r="F84" s="21">
        <f t="shared" si="4"/>
        <v>41414</v>
      </c>
      <c r="G84">
        <v>74</v>
      </c>
    </row>
    <row r="85" spans="2:7" x14ac:dyDescent="0.35">
      <c r="B85" t="s">
        <v>73</v>
      </c>
      <c r="C85" t="s">
        <v>196</v>
      </c>
      <c r="D85" s="21">
        <f t="shared" si="5"/>
        <v>41428</v>
      </c>
      <c r="E85" s="21">
        <f t="shared" si="3"/>
        <v>41435</v>
      </c>
      <c r="F85" s="21">
        <f t="shared" si="4"/>
        <v>41421</v>
      </c>
      <c r="G85">
        <v>75</v>
      </c>
    </row>
    <row r="86" spans="2:7" x14ac:dyDescent="0.35">
      <c r="B86" t="s">
        <v>73</v>
      </c>
      <c r="C86" t="s">
        <v>196</v>
      </c>
      <c r="D86" s="21">
        <f t="shared" si="5"/>
        <v>41435</v>
      </c>
      <c r="E86" s="21">
        <f t="shared" si="3"/>
        <v>41442</v>
      </c>
      <c r="F86" s="21">
        <f t="shared" si="4"/>
        <v>41428</v>
      </c>
      <c r="G86">
        <v>76</v>
      </c>
    </row>
    <row r="87" spans="2:7" x14ac:dyDescent="0.35">
      <c r="B87" t="s">
        <v>73</v>
      </c>
      <c r="C87" t="s">
        <v>196</v>
      </c>
      <c r="D87" s="21">
        <f>D86+7</f>
        <v>41442</v>
      </c>
      <c r="E87" s="21">
        <f t="shared" si="3"/>
        <v>41449</v>
      </c>
      <c r="F87" s="21">
        <f t="shared" si="4"/>
        <v>41435</v>
      </c>
      <c r="G87">
        <v>77</v>
      </c>
    </row>
    <row r="88" spans="2:7" x14ac:dyDescent="0.35">
      <c r="B88" t="s">
        <v>73</v>
      </c>
      <c r="C88" t="s">
        <v>196</v>
      </c>
      <c r="D88" s="21">
        <f t="shared" ref="D88:D130" si="6">D87+7</f>
        <v>41449</v>
      </c>
      <c r="E88" s="21">
        <f t="shared" si="3"/>
        <v>41456</v>
      </c>
      <c r="F88" s="21">
        <f t="shared" si="4"/>
        <v>41442</v>
      </c>
      <c r="G88">
        <v>78</v>
      </c>
    </row>
    <row r="89" spans="2:7" x14ac:dyDescent="0.35">
      <c r="B89" t="s">
        <v>73</v>
      </c>
      <c r="C89" t="s">
        <v>196</v>
      </c>
      <c r="D89" s="21">
        <f t="shared" si="6"/>
        <v>41456</v>
      </c>
      <c r="E89" s="21">
        <f t="shared" si="3"/>
        <v>41463</v>
      </c>
      <c r="F89" s="21">
        <f t="shared" si="4"/>
        <v>41449</v>
      </c>
      <c r="G89">
        <v>79</v>
      </c>
    </row>
    <row r="90" spans="2:7" x14ac:dyDescent="0.35">
      <c r="B90" t="s">
        <v>73</v>
      </c>
      <c r="C90" t="s">
        <v>196</v>
      </c>
      <c r="D90" s="21">
        <f t="shared" si="6"/>
        <v>41463</v>
      </c>
      <c r="E90" s="21">
        <f t="shared" si="3"/>
        <v>41470</v>
      </c>
      <c r="F90" s="21">
        <f t="shared" si="4"/>
        <v>41456</v>
      </c>
      <c r="G90">
        <v>80</v>
      </c>
    </row>
    <row r="91" spans="2:7" x14ac:dyDescent="0.35">
      <c r="B91" t="s">
        <v>73</v>
      </c>
      <c r="C91" t="s">
        <v>196</v>
      </c>
      <c r="D91" s="21">
        <f t="shared" si="6"/>
        <v>41470</v>
      </c>
      <c r="E91" s="21">
        <f t="shared" si="3"/>
        <v>41477</v>
      </c>
      <c r="F91" s="21">
        <f t="shared" si="4"/>
        <v>41463</v>
      </c>
      <c r="G91">
        <v>81</v>
      </c>
    </row>
    <row r="92" spans="2:7" x14ac:dyDescent="0.35">
      <c r="B92" t="s">
        <v>73</v>
      </c>
      <c r="C92" t="s">
        <v>196</v>
      </c>
      <c r="D92" s="21">
        <f t="shared" si="6"/>
        <v>41477</v>
      </c>
      <c r="E92" s="21">
        <f t="shared" si="3"/>
        <v>41484</v>
      </c>
      <c r="F92" s="21">
        <f t="shared" si="4"/>
        <v>41470</v>
      </c>
      <c r="G92">
        <v>82</v>
      </c>
    </row>
    <row r="93" spans="2:7" x14ac:dyDescent="0.35">
      <c r="B93" t="s">
        <v>73</v>
      </c>
      <c r="C93" t="s">
        <v>196</v>
      </c>
      <c r="D93" s="21">
        <f t="shared" si="6"/>
        <v>41484</v>
      </c>
      <c r="E93" s="21">
        <f t="shared" si="3"/>
        <v>41491</v>
      </c>
      <c r="F93" s="21">
        <f t="shared" si="4"/>
        <v>41477</v>
      </c>
      <c r="G93">
        <v>83</v>
      </c>
    </row>
    <row r="94" spans="2:7" x14ac:dyDescent="0.35">
      <c r="B94" t="s">
        <v>73</v>
      </c>
      <c r="C94" t="s">
        <v>196</v>
      </c>
      <c r="D94" s="21">
        <f t="shared" si="6"/>
        <v>41491</v>
      </c>
      <c r="E94" s="21">
        <f t="shared" si="3"/>
        <v>41498</v>
      </c>
      <c r="F94" s="21">
        <f t="shared" si="4"/>
        <v>41484</v>
      </c>
      <c r="G94">
        <v>84</v>
      </c>
    </row>
    <row r="95" spans="2:7" x14ac:dyDescent="0.35">
      <c r="B95" t="s">
        <v>73</v>
      </c>
      <c r="C95" t="s">
        <v>196</v>
      </c>
      <c r="D95" s="21">
        <f t="shared" si="6"/>
        <v>41498</v>
      </c>
      <c r="E95" s="21">
        <f t="shared" si="3"/>
        <v>41505</v>
      </c>
      <c r="F95" s="21">
        <f t="shared" si="4"/>
        <v>41491</v>
      </c>
      <c r="G95">
        <v>85</v>
      </c>
    </row>
    <row r="96" spans="2:7" x14ac:dyDescent="0.35">
      <c r="B96" t="s">
        <v>73</v>
      </c>
      <c r="C96" t="s">
        <v>196</v>
      </c>
      <c r="D96" s="21">
        <f t="shared" si="6"/>
        <v>41505</v>
      </c>
      <c r="E96" s="21">
        <f t="shared" si="3"/>
        <v>41512</v>
      </c>
      <c r="F96" s="21">
        <f t="shared" si="4"/>
        <v>41498</v>
      </c>
      <c r="G96">
        <v>86</v>
      </c>
    </row>
    <row r="97" spans="2:7" x14ac:dyDescent="0.35">
      <c r="B97" t="s">
        <v>73</v>
      </c>
      <c r="C97" t="s">
        <v>196</v>
      </c>
      <c r="D97" s="21">
        <f t="shared" si="6"/>
        <v>41512</v>
      </c>
      <c r="E97" s="21">
        <f t="shared" si="3"/>
        <v>41519</v>
      </c>
      <c r="F97" s="21">
        <f t="shared" si="4"/>
        <v>41505</v>
      </c>
      <c r="G97">
        <v>87</v>
      </c>
    </row>
    <row r="98" spans="2:7" x14ac:dyDescent="0.35">
      <c r="B98" t="s">
        <v>73</v>
      </c>
      <c r="C98" t="s">
        <v>196</v>
      </c>
      <c r="D98" s="21">
        <f t="shared" si="6"/>
        <v>41519</v>
      </c>
      <c r="E98" s="21">
        <f t="shared" si="3"/>
        <v>41526</v>
      </c>
      <c r="F98" s="21">
        <f t="shared" si="4"/>
        <v>41512</v>
      </c>
      <c r="G98">
        <v>88</v>
      </c>
    </row>
    <row r="99" spans="2:7" x14ac:dyDescent="0.35">
      <c r="B99" t="s">
        <v>73</v>
      </c>
      <c r="C99" t="s">
        <v>196</v>
      </c>
      <c r="D99" s="21">
        <f t="shared" si="6"/>
        <v>41526</v>
      </c>
      <c r="E99" s="21">
        <f t="shared" si="3"/>
        <v>41533</v>
      </c>
      <c r="F99" s="21">
        <f t="shared" si="4"/>
        <v>41519</v>
      </c>
      <c r="G99">
        <v>89</v>
      </c>
    </row>
    <row r="100" spans="2:7" x14ac:dyDescent="0.35">
      <c r="B100" t="s">
        <v>73</v>
      </c>
      <c r="C100" t="s">
        <v>196</v>
      </c>
      <c r="D100" s="21">
        <f t="shared" si="6"/>
        <v>41533</v>
      </c>
      <c r="E100" s="21">
        <f t="shared" si="3"/>
        <v>41540</v>
      </c>
      <c r="F100" s="21">
        <f t="shared" si="4"/>
        <v>41526</v>
      </c>
      <c r="G100">
        <v>90</v>
      </c>
    </row>
    <row r="101" spans="2:7" x14ac:dyDescent="0.35">
      <c r="B101" t="s">
        <v>73</v>
      </c>
      <c r="C101" t="s">
        <v>196</v>
      </c>
      <c r="D101" s="21">
        <f t="shared" si="6"/>
        <v>41540</v>
      </c>
      <c r="E101" s="21">
        <f t="shared" si="3"/>
        <v>41547</v>
      </c>
      <c r="F101" s="21">
        <f t="shared" si="4"/>
        <v>41533</v>
      </c>
      <c r="G101">
        <v>91</v>
      </c>
    </row>
    <row r="102" spans="2:7" x14ac:dyDescent="0.35">
      <c r="B102" t="s">
        <v>73</v>
      </c>
      <c r="C102" t="s">
        <v>196</v>
      </c>
      <c r="D102" s="21">
        <f t="shared" si="6"/>
        <v>41547</v>
      </c>
      <c r="E102" s="21">
        <f t="shared" si="3"/>
        <v>41554</v>
      </c>
      <c r="F102" s="21">
        <f t="shared" si="4"/>
        <v>41540</v>
      </c>
      <c r="G102">
        <v>92</v>
      </c>
    </row>
    <row r="103" spans="2:7" x14ac:dyDescent="0.35">
      <c r="B103" t="s">
        <v>73</v>
      </c>
      <c r="C103" t="s">
        <v>196</v>
      </c>
      <c r="D103" s="21">
        <f t="shared" si="6"/>
        <v>41554</v>
      </c>
      <c r="E103" s="21">
        <f t="shared" si="3"/>
        <v>41561</v>
      </c>
      <c r="F103" s="21">
        <f t="shared" si="4"/>
        <v>41547</v>
      </c>
      <c r="G103">
        <v>93</v>
      </c>
    </row>
    <row r="104" spans="2:7" x14ac:dyDescent="0.35">
      <c r="B104" t="s">
        <v>73</v>
      </c>
      <c r="C104" t="s">
        <v>196</v>
      </c>
      <c r="D104" s="21">
        <f t="shared" si="6"/>
        <v>41561</v>
      </c>
      <c r="E104" s="21">
        <f t="shared" si="3"/>
        <v>41568</v>
      </c>
      <c r="F104" s="21">
        <f t="shared" si="4"/>
        <v>41554</v>
      </c>
      <c r="G104">
        <v>94</v>
      </c>
    </row>
    <row r="105" spans="2:7" x14ac:dyDescent="0.35">
      <c r="B105" t="s">
        <v>73</v>
      </c>
      <c r="C105" t="s">
        <v>196</v>
      </c>
      <c r="D105" s="21">
        <f t="shared" si="6"/>
        <v>41568</v>
      </c>
      <c r="E105" s="21">
        <f t="shared" si="3"/>
        <v>41575</v>
      </c>
      <c r="F105" s="21">
        <f t="shared" si="4"/>
        <v>41561</v>
      </c>
      <c r="G105">
        <v>95</v>
      </c>
    </row>
    <row r="106" spans="2:7" x14ac:dyDescent="0.35">
      <c r="B106" t="s">
        <v>73</v>
      </c>
      <c r="C106" t="s">
        <v>196</v>
      </c>
      <c r="D106" s="21">
        <f t="shared" si="6"/>
        <v>41575</v>
      </c>
      <c r="E106" s="21">
        <f t="shared" si="3"/>
        <v>41582</v>
      </c>
      <c r="F106" s="21">
        <f t="shared" si="4"/>
        <v>41568</v>
      </c>
      <c r="G106">
        <v>96</v>
      </c>
    </row>
    <row r="107" spans="2:7" x14ac:dyDescent="0.35">
      <c r="B107" t="s">
        <v>73</v>
      </c>
      <c r="C107" t="s">
        <v>196</v>
      </c>
      <c r="D107" s="21">
        <f t="shared" si="6"/>
        <v>41582</v>
      </c>
      <c r="E107" s="21">
        <f t="shared" si="3"/>
        <v>41589</v>
      </c>
      <c r="F107" s="21">
        <f t="shared" si="4"/>
        <v>41575</v>
      </c>
      <c r="G107">
        <v>97</v>
      </c>
    </row>
    <row r="108" spans="2:7" x14ac:dyDescent="0.35">
      <c r="B108" t="s">
        <v>73</v>
      </c>
      <c r="C108" t="s">
        <v>196</v>
      </c>
      <c r="D108" s="21">
        <f t="shared" si="6"/>
        <v>41589</v>
      </c>
      <c r="E108" s="21">
        <f t="shared" si="3"/>
        <v>41596</v>
      </c>
      <c r="F108" s="21">
        <f t="shared" si="4"/>
        <v>41582</v>
      </c>
      <c r="G108">
        <v>98</v>
      </c>
    </row>
    <row r="109" spans="2:7" x14ac:dyDescent="0.35">
      <c r="B109" t="s">
        <v>73</v>
      </c>
      <c r="C109" t="s">
        <v>196</v>
      </c>
      <c r="D109" s="21">
        <f t="shared" si="6"/>
        <v>41596</v>
      </c>
      <c r="E109" s="21">
        <f t="shared" si="3"/>
        <v>41603</v>
      </c>
      <c r="F109" s="21">
        <f t="shared" si="4"/>
        <v>41589</v>
      </c>
      <c r="G109">
        <v>99</v>
      </c>
    </row>
    <row r="110" spans="2:7" x14ac:dyDescent="0.35">
      <c r="B110" t="s">
        <v>73</v>
      </c>
      <c r="C110" t="s">
        <v>196</v>
      </c>
      <c r="D110" s="21">
        <f t="shared" si="6"/>
        <v>41603</v>
      </c>
      <c r="E110" s="21">
        <f t="shared" si="3"/>
        <v>41610</v>
      </c>
      <c r="F110" s="21">
        <f t="shared" si="4"/>
        <v>41596</v>
      </c>
      <c r="G110">
        <v>100</v>
      </c>
    </row>
    <row r="111" spans="2:7" x14ac:dyDescent="0.35">
      <c r="B111" t="s">
        <v>73</v>
      </c>
      <c r="C111" t="s">
        <v>196</v>
      </c>
      <c r="D111" s="21">
        <f t="shared" si="6"/>
        <v>41610</v>
      </c>
      <c r="E111" s="21">
        <f t="shared" si="3"/>
        <v>41617</v>
      </c>
      <c r="F111" s="21">
        <f t="shared" si="4"/>
        <v>41603</v>
      </c>
      <c r="G111">
        <v>101</v>
      </c>
    </row>
    <row r="112" spans="2:7" x14ac:dyDescent="0.35">
      <c r="B112" t="s">
        <v>73</v>
      </c>
      <c r="C112" t="s">
        <v>196</v>
      </c>
      <c r="D112" s="21">
        <f t="shared" si="6"/>
        <v>41617</v>
      </c>
      <c r="E112" s="21">
        <f t="shared" si="3"/>
        <v>41624</v>
      </c>
      <c r="F112" s="21">
        <f t="shared" si="4"/>
        <v>41610</v>
      </c>
      <c r="G112">
        <v>102</v>
      </c>
    </row>
    <row r="113" spans="2:7" x14ac:dyDescent="0.35">
      <c r="B113" t="s">
        <v>73</v>
      </c>
      <c r="C113" t="s">
        <v>196</v>
      </c>
      <c r="D113" s="21">
        <f t="shared" si="6"/>
        <v>41624</v>
      </c>
      <c r="E113" s="21">
        <f t="shared" si="3"/>
        <v>41631</v>
      </c>
      <c r="F113" s="21">
        <f t="shared" si="4"/>
        <v>41617</v>
      </c>
      <c r="G113">
        <v>103</v>
      </c>
    </row>
    <row r="114" spans="2:7" x14ac:dyDescent="0.35">
      <c r="B114" t="s">
        <v>73</v>
      </c>
      <c r="C114" t="s">
        <v>196</v>
      </c>
      <c r="D114" s="21">
        <f t="shared" si="6"/>
        <v>41631</v>
      </c>
      <c r="E114" s="21">
        <f t="shared" si="3"/>
        <v>41638</v>
      </c>
      <c r="F114" s="21">
        <f t="shared" si="4"/>
        <v>41624</v>
      </c>
      <c r="G114">
        <v>104</v>
      </c>
    </row>
    <row r="115" spans="2:7" x14ac:dyDescent="0.35">
      <c r="B115" t="s">
        <v>73</v>
      </c>
      <c r="C115" t="s">
        <v>196</v>
      </c>
      <c r="D115" s="21">
        <f t="shared" si="6"/>
        <v>41638</v>
      </c>
      <c r="E115" s="21">
        <f t="shared" si="3"/>
        <v>41645</v>
      </c>
      <c r="F115" s="21">
        <f t="shared" si="4"/>
        <v>41631</v>
      </c>
      <c r="G115">
        <v>105</v>
      </c>
    </row>
    <row r="116" spans="2:7" x14ac:dyDescent="0.35">
      <c r="B116" t="s">
        <v>73</v>
      </c>
      <c r="C116" t="s">
        <v>196</v>
      </c>
      <c r="D116" s="21">
        <f t="shared" si="6"/>
        <v>41645</v>
      </c>
      <c r="E116" s="21">
        <f t="shared" si="3"/>
        <v>41652</v>
      </c>
      <c r="F116" s="21">
        <f t="shared" si="4"/>
        <v>41638</v>
      </c>
      <c r="G116">
        <v>106</v>
      </c>
    </row>
    <row r="117" spans="2:7" x14ac:dyDescent="0.35">
      <c r="B117" t="s">
        <v>73</v>
      </c>
      <c r="C117" t="s">
        <v>196</v>
      </c>
      <c r="D117" s="21">
        <f t="shared" si="6"/>
        <v>41652</v>
      </c>
      <c r="E117" s="21">
        <f t="shared" si="3"/>
        <v>41659</v>
      </c>
      <c r="F117" s="21">
        <f t="shared" si="4"/>
        <v>41645</v>
      </c>
      <c r="G117">
        <v>107</v>
      </c>
    </row>
    <row r="118" spans="2:7" x14ac:dyDescent="0.35">
      <c r="B118" t="s">
        <v>73</v>
      </c>
      <c r="C118" t="s">
        <v>196</v>
      </c>
      <c r="D118" s="21">
        <f t="shared" si="6"/>
        <v>41659</v>
      </c>
      <c r="E118" s="21">
        <f t="shared" si="3"/>
        <v>41666</v>
      </c>
      <c r="F118" s="21">
        <f t="shared" si="4"/>
        <v>41652</v>
      </c>
      <c r="G118">
        <v>108</v>
      </c>
    </row>
    <row r="119" spans="2:7" x14ac:dyDescent="0.35">
      <c r="B119" t="s">
        <v>73</v>
      </c>
      <c r="C119" t="s">
        <v>196</v>
      </c>
      <c r="D119" s="21">
        <f t="shared" si="6"/>
        <v>41666</v>
      </c>
      <c r="E119" s="21">
        <f t="shared" si="3"/>
        <v>41673</v>
      </c>
      <c r="F119" s="21">
        <f t="shared" si="4"/>
        <v>41659</v>
      </c>
      <c r="G119">
        <v>109</v>
      </c>
    </row>
    <row r="120" spans="2:7" x14ac:dyDescent="0.35">
      <c r="B120" t="s">
        <v>73</v>
      </c>
      <c r="C120" t="s">
        <v>196</v>
      </c>
      <c r="D120" s="21">
        <f t="shared" si="6"/>
        <v>41673</v>
      </c>
      <c r="E120" s="21">
        <f t="shared" si="3"/>
        <v>41680</v>
      </c>
      <c r="F120" s="21">
        <f t="shared" si="4"/>
        <v>41666</v>
      </c>
      <c r="G120">
        <v>110</v>
      </c>
    </row>
    <row r="121" spans="2:7" x14ac:dyDescent="0.35">
      <c r="B121" t="s">
        <v>73</v>
      </c>
      <c r="C121" t="s">
        <v>196</v>
      </c>
      <c r="D121" s="21">
        <f t="shared" si="6"/>
        <v>41680</v>
      </c>
      <c r="E121" s="21">
        <f t="shared" si="3"/>
        <v>41687</v>
      </c>
      <c r="F121" s="21">
        <f t="shared" si="4"/>
        <v>41673</v>
      </c>
      <c r="G121">
        <v>111</v>
      </c>
    </row>
    <row r="122" spans="2:7" x14ac:dyDescent="0.35">
      <c r="B122" t="s">
        <v>73</v>
      </c>
      <c r="C122" t="s">
        <v>196</v>
      </c>
      <c r="D122" s="21">
        <f t="shared" si="6"/>
        <v>41687</v>
      </c>
      <c r="E122" s="21">
        <f t="shared" si="3"/>
        <v>41694</v>
      </c>
      <c r="F122" s="21">
        <f t="shared" si="4"/>
        <v>41680</v>
      </c>
      <c r="G122">
        <v>112</v>
      </c>
    </row>
    <row r="123" spans="2:7" x14ac:dyDescent="0.35">
      <c r="B123" t="s">
        <v>73</v>
      </c>
      <c r="C123" t="s">
        <v>196</v>
      </c>
      <c r="D123" s="21">
        <f t="shared" si="6"/>
        <v>41694</v>
      </c>
      <c r="E123" s="21">
        <f t="shared" si="3"/>
        <v>41701</v>
      </c>
      <c r="F123" s="21">
        <f t="shared" si="4"/>
        <v>41687</v>
      </c>
      <c r="G123">
        <v>113</v>
      </c>
    </row>
    <row r="124" spans="2:7" x14ac:dyDescent="0.35">
      <c r="B124" t="s">
        <v>73</v>
      </c>
      <c r="C124" t="s">
        <v>196</v>
      </c>
      <c r="D124" s="21">
        <f t="shared" si="6"/>
        <v>41701</v>
      </c>
      <c r="E124" s="21">
        <f t="shared" si="3"/>
        <v>41708</v>
      </c>
      <c r="F124" s="21">
        <f t="shared" si="4"/>
        <v>41694</v>
      </c>
      <c r="G124">
        <v>114</v>
      </c>
    </row>
    <row r="125" spans="2:7" x14ac:dyDescent="0.35">
      <c r="B125" t="s">
        <v>73</v>
      </c>
      <c r="C125" t="s">
        <v>196</v>
      </c>
      <c r="D125" s="21">
        <f t="shared" si="6"/>
        <v>41708</v>
      </c>
      <c r="E125" s="21">
        <f t="shared" si="3"/>
        <v>41715</v>
      </c>
      <c r="F125" s="21">
        <f t="shared" si="4"/>
        <v>41701</v>
      </c>
      <c r="G125">
        <v>115</v>
      </c>
    </row>
    <row r="126" spans="2:7" x14ac:dyDescent="0.35">
      <c r="B126" t="s">
        <v>73</v>
      </c>
      <c r="C126" t="s">
        <v>196</v>
      </c>
      <c r="D126" s="21">
        <f t="shared" si="6"/>
        <v>41715</v>
      </c>
      <c r="E126" s="21">
        <f t="shared" si="3"/>
        <v>41722</v>
      </c>
      <c r="F126" s="21">
        <f t="shared" si="4"/>
        <v>41708</v>
      </c>
      <c r="G126">
        <v>116</v>
      </c>
    </row>
    <row r="127" spans="2:7" x14ac:dyDescent="0.35">
      <c r="B127" t="s">
        <v>73</v>
      </c>
      <c r="C127" t="s">
        <v>196</v>
      </c>
      <c r="D127" s="21">
        <f t="shared" si="6"/>
        <v>41722</v>
      </c>
      <c r="E127" s="21">
        <f t="shared" si="3"/>
        <v>41729</v>
      </c>
      <c r="F127" s="21">
        <f t="shared" si="4"/>
        <v>41715</v>
      </c>
      <c r="G127">
        <v>117</v>
      </c>
    </row>
    <row r="128" spans="2:7" x14ac:dyDescent="0.35">
      <c r="B128" t="s">
        <v>73</v>
      </c>
      <c r="C128" t="s">
        <v>196</v>
      </c>
      <c r="D128" s="21">
        <f t="shared" si="6"/>
        <v>41729</v>
      </c>
      <c r="E128" s="21">
        <f t="shared" si="3"/>
        <v>41736</v>
      </c>
      <c r="F128" s="21">
        <f t="shared" si="4"/>
        <v>41722</v>
      </c>
      <c r="G128">
        <v>118</v>
      </c>
    </row>
    <row r="129" spans="2:7" x14ac:dyDescent="0.35">
      <c r="B129" t="s">
        <v>73</v>
      </c>
      <c r="C129" t="s">
        <v>196</v>
      </c>
      <c r="D129" s="21">
        <f t="shared" si="6"/>
        <v>41736</v>
      </c>
      <c r="E129" s="21">
        <f t="shared" si="3"/>
        <v>41743</v>
      </c>
      <c r="F129" s="21">
        <f t="shared" si="4"/>
        <v>41729</v>
      </c>
      <c r="G129">
        <v>119</v>
      </c>
    </row>
    <row r="130" spans="2:7" x14ac:dyDescent="0.35">
      <c r="B130" t="s">
        <v>73</v>
      </c>
      <c r="C130" t="s">
        <v>196</v>
      </c>
      <c r="D130" s="21">
        <f t="shared" si="6"/>
        <v>41743</v>
      </c>
      <c r="E130" s="21">
        <f t="shared" si="3"/>
        <v>41750</v>
      </c>
      <c r="F130" s="21">
        <f t="shared" si="4"/>
        <v>41736</v>
      </c>
      <c r="G130">
        <v>120</v>
      </c>
    </row>
    <row r="131" spans="2:7" x14ac:dyDescent="0.35">
      <c r="B131" t="s">
        <v>73</v>
      </c>
      <c r="C131" t="s">
        <v>196</v>
      </c>
      <c r="D131" s="21">
        <f>D130+7</f>
        <v>41750</v>
      </c>
      <c r="E131" s="21">
        <f t="shared" si="3"/>
        <v>41757</v>
      </c>
      <c r="F131" s="21">
        <f t="shared" si="4"/>
        <v>41743</v>
      </c>
      <c r="G131">
        <v>121</v>
      </c>
    </row>
    <row r="132" spans="2:7" x14ac:dyDescent="0.35">
      <c r="B132" t="s">
        <v>73</v>
      </c>
      <c r="C132" t="s">
        <v>196</v>
      </c>
      <c r="D132" s="21">
        <f t="shared" ref="D132:D195" si="7">D131+7</f>
        <v>41757</v>
      </c>
      <c r="E132" s="21">
        <f t="shared" si="3"/>
        <v>41764</v>
      </c>
      <c r="F132" s="21">
        <f t="shared" si="4"/>
        <v>41750</v>
      </c>
      <c r="G132">
        <v>122</v>
      </c>
    </row>
    <row r="133" spans="2:7" x14ac:dyDescent="0.35">
      <c r="B133" t="s">
        <v>73</v>
      </c>
      <c r="C133" t="s">
        <v>196</v>
      </c>
      <c r="D133" s="21">
        <f t="shared" si="7"/>
        <v>41764</v>
      </c>
      <c r="E133" s="21">
        <f t="shared" si="3"/>
        <v>41771</v>
      </c>
      <c r="F133" s="21">
        <f t="shared" si="4"/>
        <v>41757</v>
      </c>
      <c r="G133">
        <v>123</v>
      </c>
    </row>
    <row r="134" spans="2:7" x14ac:dyDescent="0.35">
      <c r="B134" t="s">
        <v>73</v>
      </c>
      <c r="C134" t="s">
        <v>196</v>
      </c>
      <c r="D134" s="21">
        <f t="shared" si="7"/>
        <v>41771</v>
      </c>
      <c r="E134" s="21">
        <f t="shared" si="3"/>
        <v>41778</v>
      </c>
      <c r="F134" s="21">
        <f t="shared" si="4"/>
        <v>41764</v>
      </c>
      <c r="G134">
        <v>124</v>
      </c>
    </row>
    <row r="135" spans="2:7" x14ac:dyDescent="0.35">
      <c r="B135" t="s">
        <v>73</v>
      </c>
      <c r="C135" t="s">
        <v>196</v>
      </c>
      <c r="D135" s="21">
        <f t="shared" si="7"/>
        <v>41778</v>
      </c>
      <c r="E135" s="21">
        <f t="shared" si="3"/>
        <v>41785</v>
      </c>
      <c r="F135" s="21">
        <f t="shared" si="4"/>
        <v>41771</v>
      </c>
      <c r="G135">
        <v>125</v>
      </c>
    </row>
    <row r="136" spans="2:7" x14ac:dyDescent="0.35">
      <c r="B136" t="s">
        <v>73</v>
      </c>
      <c r="C136" t="s">
        <v>196</v>
      </c>
      <c r="D136" s="21">
        <f t="shared" si="7"/>
        <v>41785</v>
      </c>
      <c r="E136" s="21">
        <f t="shared" si="3"/>
        <v>41792</v>
      </c>
      <c r="F136" s="21">
        <f t="shared" si="4"/>
        <v>41778</v>
      </c>
      <c r="G136">
        <v>126</v>
      </c>
    </row>
    <row r="137" spans="2:7" x14ac:dyDescent="0.35">
      <c r="B137" t="s">
        <v>73</v>
      </c>
      <c r="C137" t="s">
        <v>196</v>
      </c>
      <c r="D137" s="21">
        <f t="shared" si="7"/>
        <v>41792</v>
      </c>
      <c r="E137" s="21">
        <f t="shared" si="3"/>
        <v>41799</v>
      </c>
      <c r="F137" s="21">
        <f t="shared" si="4"/>
        <v>41785</v>
      </c>
      <c r="G137">
        <v>127</v>
      </c>
    </row>
    <row r="138" spans="2:7" x14ac:dyDescent="0.35">
      <c r="B138" t="s">
        <v>73</v>
      </c>
      <c r="C138" t="s">
        <v>196</v>
      </c>
      <c r="D138" s="21">
        <f t="shared" si="7"/>
        <v>41799</v>
      </c>
      <c r="E138" s="21">
        <f t="shared" si="3"/>
        <v>41806</v>
      </c>
      <c r="F138" s="21">
        <f t="shared" si="4"/>
        <v>41792</v>
      </c>
      <c r="G138">
        <v>128</v>
      </c>
    </row>
    <row r="139" spans="2:7" x14ac:dyDescent="0.35">
      <c r="B139" t="s">
        <v>73</v>
      </c>
      <c r="C139" t="s">
        <v>196</v>
      </c>
      <c r="D139" s="21">
        <f t="shared" si="7"/>
        <v>41806</v>
      </c>
      <c r="E139" s="21">
        <f t="shared" si="3"/>
        <v>41813</v>
      </c>
      <c r="F139" s="21">
        <f t="shared" si="4"/>
        <v>41799</v>
      </c>
      <c r="G139">
        <v>129</v>
      </c>
    </row>
    <row r="140" spans="2:7" x14ac:dyDescent="0.35">
      <c r="B140" t="s">
        <v>73</v>
      </c>
      <c r="C140" t="s">
        <v>196</v>
      </c>
      <c r="D140" s="21">
        <f t="shared" si="7"/>
        <v>41813</v>
      </c>
      <c r="E140" s="21">
        <f t="shared" ref="E140:E203" si="8">D140+7</f>
        <v>41820</v>
      </c>
      <c r="F140" s="21">
        <f t="shared" ref="F140:F203" si="9">D140-7</f>
        <v>41806</v>
      </c>
      <c r="G140">
        <v>130</v>
      </c>
    </row>
    <row r="141" spans="2:7" x14ac:dyDescent="0.35">
      <c r="B141" t="s">
        <v>73</v>
      </c>
      <c r="C141" t="s">
        <v>196</v>
      </c>
      <c r="D141" s="21">
        <f t="shared" si="7"/>
        <v>41820</v>
      </c>
      <c r="E141" s="21">
        <f t="shared" si="8"/>
        <v>41827</v>
      </c>
      <c r="F141" s="21">
        <f t="shared" si="9"/>
        <v>41813</v>
      </c>
      <c r="G141">
        <v>131</v>
      </c>
    </row>
    <row r="142" spans="2:7" x14ac:dyDescent="0.35">
      <c r="B142" t="s">
        <v>73</v>
      </c>
      <c r="C142" t="s">
        <v>196</v>
      </c>
      <c r="D142" s="21">
        <f t="shared" si="7"/>
        <v>41827</v>
      </c>
      <c r="E142" s="21">
        <f t="shared" si="8"/>
        <v>41834</v>
      </c>
      <c r="F142" s="21">
        <f t="shared" si="9"/>
        <v>41820</v>
      </c>
      <c r="G142">
        <v>132</v>
      </c>
    </row>
    <row r="143" spans="2:7" x14ac:dyDescent="0.35">
      <c r="B143" t="s">
        <v>73</v>
      </c>
      <c r="C143" t="s">
        <v>196</v>
      </c>
      <c r="D143" s="21">
        <f t="shared" si="7"/>
        <v>41834</v>
      </c>
      <c r="E143" s="21">
        <f t="shared" si="8"/>
        <v>41841</v>
      </c>
      <c r="F143" s="21">
        <f t="shared" si="9"/>
        <v>41827</v>
      </c>
      <c r="G143">
        <v>133</v>
      </c>
    </row>
    <row r="144" spans="2:7" x14ac:dyDescent="0.35">
      <c r="B144" t="s">
        <v>73</v>
      </c>
      <c r="C144" t="s">
        <v>196</v>
      </c>
      <c r="D144" s="21">
        <f t="shared" si="7"/>
        <v>41841</v>
      </c>
      <c r="E144" s="21">
        <f t="shared" si="8"/>
        <v>41848</v>
      </c>
      <c r="F144" s="21">
        <f t="shared" si="9"/>
        <v>41834</v>
      </c>
      <c r="G144">
        <v>134</v>
      </c>
    </row>
    <row r="145" spans="2:7" x14ac:dyDescent="0.35">
      <c r="B145" t="s">
        <v>73</v>
      </c>
      <c r="C145" t="s">
        <v>196</v>
      </c>
      <c r="D145" s="21">
        <f t="shared" si="7"/>
        <v>41848</v>
      </c>
      <c r="E145" s="21">
        <f t="shared" si="8"/>
        <v>41855</v>
      </c>
      <c r="F145" s="21">
        <f t="shared" si="9"/>
        <v>41841</v>
      </c>
      <c r="G145">
        <v>135</v>
      </c>
    </row>
    <row r="146" spans="2:7" x14ac:dyDescent="0.35">
      <c r="B146" t="s">
        <v>73</v>
      </c>
      <c r="C146" t="s">
        <v>196</v>
      </c>
      <c r="D146" s="21">
        <f t="shared" si="7"/>
        <v>41855</v>
      </c>
      <c r="E146" s="21">
        <f t="shared" si="8"/>
        <v>41862</v>
      </c>
      <c r="F146" s="21">
        <f t="shared" si="9"/>
        <v>41848</v>
      </c>
      <c r="G146">
        <v>136</v>
      </c>
    </row>
    <row r="147" spans="2:7" x14ac:dyDescent="0.35">
      <c r="B147" t="s">
        <v>73</v>
      </c>
      <c r="C147" t="s">
        <v>196</v>
      </c>
      <c r="D147" s="21">
        <f t="shared" si="7"/>
        <v>41862</v>
      </c>
      <c r="E147" s="21">
        <f t="shared" si="8"/>
        <v>41869</v>
      </c>
      <c r="F147" s="21">
        <f t="shared" si="9"/>
        <v>41855</v>
      </c>
      <c r="G147">
        <v>137</v>
      </c>
    </row>
    <row r="148" spans="2:7" x14ac:dyDescent="0.35">
      <c r="B148" t="s">
        <v>73</v>
      </c>
      <c r="C148" t="s">
        <v>196</v>
      </c>
      <c r="D148" s="21">
        <f t="shared" si="7"/>
        <v>41869</v>
      </c>
      <c r="E148" s="21">
        <f t="shared" si="8"/>
        <v>41876</v>
      </c>
      <c r="F148" s="21">
        <f t="shared" si="9"/>
        <v>41862</v>
      </c>
      <c r="G148">
        <v>138</v>
      </c>
    </row>
    <row r="149" spans="2:7" x14ac:dyDescent="0.35">
      <c r="B149" t="s">
        <v>73</v>
      </c>
      <c r="C149" t="s">
        <v>196</v>
      </c>
      <c r="D149" s="21">
        <f t="shared" si="7"/>
        <v>41876</v>
      </c>
      <c r="E149" s="21">
        <f t="shared" si="8"/>
        <v>41883</v>
      </c>
      <c r="F149" s="21">
        <f t="shared" si="9"/>
        <v>41869</v>
      </c>
      <c r="G149">
        <v>139</v>
      </c>
    </row>
    <row r="150" spans="2:7" x14ac:dyDescent="0.35">
      <c r="B150" t="s">
        <v>73</v>
      </c>
      <c r="C150" t="s">
        <v>196</v>
      </c>
      <c r="D150" s="21">
        <f t="shared" si="7"/>
        <v>41883</v>
      </c>
      <c r="E150" s="21">
        <f t="shared" si="8"/>
        <v>41890</v>
      </c>
      <c r="F150" s="21">
        <f t="shared" si="9"/>
        <v>41876</v>
      </c>
      <c r="G150">
        <v>140</v>
      </c>
    </row>
    <row r="151" spans="2:7" x14ac:dyDescent="0.35">
      <c r="B151" t="s">
        <v>73</v>
      </c>
      <c r="C151" t="s">
        <v>196</v>
      </c>
      <c r="D151" s="21">
        <f t="shared" si="7"/>
        <v>41890</v>
      </c>
      <c r="E151" s="21">
        <f t="shared" si="8"/>
        <v>41897</v>
      </c>
      <c r="F151" s="21">
        <f t="shared" si="9"/>
        <v>41883</v>
      </c>
      <c r="G151">
        <v>141</v>
      </c>
    </row>
    <row r="152" spans="2:7" x14ac:dyDescent="0.35">
      <c r="B152" t="s">
        <v>73</v>
      </c>
      <c r="C152" t="s">
        <v>196</v>
      </c>
      <c r="D152" s="21">
        <f t="shared" si="7"/>
        <v>41897</v>
      </c>
      <c r="E152" s="21">
        <f t="shared" si="8"/>
        <v>41904</v>
      </c>
      <c r="F152" s="21">
        <f t="shared" si="9"/>
        <v>41890</v>
      </c>
      <c r="G152">
        <v>142</v>
      </c>
    </row>
    <row r="153" spans="2:7" x14ac:dyDescent="0.35">
      <c r="B153" t="s">
        <v>73</v>
      </c>
      <c r="C153" t="s">
        <v>196</v>
      </c>
      <c r="D153" s="21">
        <f t="shared" si="7"/>
        <v>41904</v>
      </c>
      <c r="E153" s="21">
        <f t="shared" si="8"/>
        <v>41911</v>
      </c>
      <c r="F153" s="21">
        <f t="shared" si="9"/>
        <v>41897</v>
      </c>
      <c r="G153">
        <v>143</v>
      </c>
    </row>
    <row r="154" spans="2:7" x14ac:dyDescent="0.35">
      <c r="B154" t="s">
        <v>73</v>
      </c>
      <c r="C154" t="s">
        <v>196</v>
      </c>
      <c r="D154" s="21">
        <f t="shared" si="7"/>
        <v>41911</v>
      </c>
      <c r="E154" s="21">
        <f t="shared" si="8"/>
        <v>41918</v>
      </c>
      <c r="F154" s="21">
        <f t="shared" si="9"/>
        <v>41904</v>
      </c>
      <c r="G154">
        <v>144</v>
      </c>
    </row>
    <row r="155" spans="2:7" x14ac:dyDescent="0.35">
      <c r="B155" t="s">
        <v>73</v>
      </c>
      <c r="C155" t="s">
        <v>196</v>
      </c>
      <c r="D155" s="21">
        <f t="shared" si="7"/>
        <v>41918</v>
      </c>
      <c r="E155" s="21">
        <f t="shared" si="8"/>
        <v>41925</v>
      </c>
      <c r="F155" s="21">
        <f t="shared" si="9"/>
        <v>41911</v>
      </c>
      <c r="G155">
        <v>145</v>
      </c>
    </row>
    <row r="156" spans="2:7" x14ac:dyDescent="0.35">
      <c r="B156" t="s">
        <v>73</v>
      </c>
      <c r="C156" t="s">
        <v>196</v>
      </c>
      <c r="D156" s="21">
        <f t="shared" si="7"/>
        <v>41925</v>
      </c>
      <c r="E156" s="21">
        <f t="shared" si="8"/>
        <v>41932</v>
      </c>
      <c r="F156" s="21">
        <f t="shared" si="9"/>
        <v>41918</v>
      </c>
      <c r="G156">
        <v>146</v>
      </c>
    </row>
    <row r="157" spans="2:7" x14ac:dyDescent="0.35">
      <c r="B157" t="s">
        <v>73</v>
      </c>
      <c r="C157" t="s">
        <v>196</v>
      </c>
      <c r="D157" s="21">
        <f t="shared" si="7"/>
        <v>41932</v>
      </c>
      <c r="E157" s="21">
        <f t="shared" si="8"/>
        <v>41939</v>
      </c>
      <c r="F157" s="21">
        <f t="shared" si="9"/>
        <v>41925</v>
      </c>
      <c r="G157">
        <v>147</v>
      </c>
    </row>
    <row r="158" spans="2:7" x14ac:dyDescent="0.35">
      <c r="B158" t="s">
        <v>73</v>
      </c>
      <c r="C158" t="s">
        <v>196</v>
      </c>
      <c r="D158" s="21">
        <f t="shared" si="7"/>
        <v>41939</v>
      </c>
      <c r="E158" s="21">
        <f t="shared" si="8"/>
        <v>41946</v>
      </c>
      <c r="F158" s="21">
        <f t="shared" si="9"/>
        <v>41932</v>
      </c>
      <c r="G158">
        <v>148</v>
      </c>
    </row>
    <row r="159" spans="2:7" x14ac:dyDescent="0.35">
      <c r="B159" t="s">
        <v>73</v>
      </c>
      <c r="C159" t="s">
        <v>196</v>
      </c>
      <c r="D159" s="21">
        <f t="shared" si="7"/>
        <v>41946</v>
      </c>
      <c r="E159" s="21">
        <f t="shared" si="8"/>
        <v>41953</v>
      </c>
      <c r="F159" s="21">
        <f t="shared" si="9"/>
        <v>41939</v>
      </c>
      <c r="G159">
        <v>149</v>
      </c>
    </row>
    <row r="160" spans="2:7" x14ac:dyDescent="0.35">
      <c r="B160" t="s">
        <v>73</v>
      </c>
      <c r="C160" t="s">
        <v>196</v>
      </c>
      <c r="D160" s="21">
        <f t="shared" si="7"/>
        <v>41953</v>
      </c>
      <c r="E160" s="21">
        <f t="shared" si="8"/>
        <v>41960</v>
      </c>
      <c r="F160" s="21">
        <f t="shared" si="9"/>
        <v>41946</v>
      </c>
      <c r="G160">
        <v>150</v>
      </c>
    </row>
    <row r="161" spans="2:7" x14ac:dyDescent="0.35">
      <c r="B161" t="s">
        <v>73</v>
      </c>
      <c r="C161" t="s">
        <v>196</v>
      </c>
      <c r="D161" s="21">
        <f t="shared" si="7"/>
        <v>41960</v>
      </c>
      <c r="E161" s="21">
        <f t="shared" si="8"/>
        <v>41967</v>
      </c>
      <c r="F161" s="21">
        <f t="shared" si="9"/>
        <v>41953</v>
      </c>
      <c r="G161">
        <v>151</v>
      </c>
    </row>
    <row r="162" spans="2:7" x14ac:dyDescent="0.35">
      <c r="B162" t="s">
        <v>73</v>
      </c>
      <c r="C162" t="s">
        <v>196</v>
      </c>
      <c r="D162" s="21">
        <f t="shared" si="7"/>
        <v>41967</v>
      </c>
      <c r="E162" s="21">
        <f t="shared" si="8"/>
        <v>41974</v>
      </c>
      <c r="F162" s="21">
        <f t="shared" si="9"/>
        <v>41960</v>
      </c>
      <c r="G162">
        <v>152</v>
      </c>
    </row>
    <row r="163" spans="2:7" x14ac:dyDescent="0.35">
      <c r="B163" t="s">
        <v>73</v>
      </c>
      <c r="C163" t="s">
        <v>196</v>
      </c>
      <c r="D163" s="21">
        <f t="shared" si="7"/>
        <v>41974</v>
      </c>
      <c r="E163" s="21">
        <f t="shared" si="8"/>
        <v>41981</v>
      </c>
      <c r="F163" s="21">
        <f t="shared" si="9"/>
        <v>41967</v>
      </c>
      <c r="G163">
        <v>153</v>
      </c>
    </row>
    <row r="164" spans="2:7" x14ac:dyDescent="0.35">
      <c r="B164" t="s">
        <v>73</v>
      </c>
      <c r="C164" t="s">
        <v>196</v>
      </c>
      <c r="D164" s="21">
        <f t="shared" si="7"/>
        <v>41981</v>
      </c>
      <c r="E164" s="21">
        <f t="shared" si="8"/>
        <v>41988</v>
      </c>
      <c r="F164" s="21">
        <f t="shared" si="9"/>
        <v>41974</v>
      </c>
      <c r="G164">
        <v>154</v>
      </c>
    </row>
    <row r="165" spans="2:7" x14ac:dyDescent="0.35">
      <c r="B165" t="s">
        <v>73</v>
      </c>
      <c r="C165" t="s">
        <v>196</v>
      </c>
      <c r="D165" s="21">
        <f t="shared" si="7"/>
        <v>41988</v>
      </c>
      <c r="E165" s="21">
        <f t="shared" si="8"/>
        <v>41995</v>
      </c>
      <c r="F165" s="21">
        <f t="shared" si="9"/>
        <v>41981</v>
      </c>
      <c r="G165">
        <v>155</v>
      </c>
    </row>
    <row r="166" spans="2:7" x14ac:dyDescent="0.35">
      <c r="B166" t="s">
        <v>73</v>
      </c>
      <c r="C166" t="s">
        <v>196</v>
      </c>
      <c r="D166" s="21">
        <f t="shared" si="7"/>
        <v>41995</v>
      </c>
      <c r="E166" s="21">
        <f t="shared" si="8"/>
        <v>42002</v>
      </c>
      <c r="F166" s="21">
        <f t="shared" si="9"/>
        <v>41988</v>
      </c>
      <c r="G166">
        <v>156</v>
      </c>
    </row>
    <row r="167" spans="2:7" x14ac:dyDescent="0.35">
      <c r="B167" t="s">
        <v>73</v>
      </c>
      <c r="C167" t="s">
        <v>196</v>
      </c>
      <c r="D167" s="21">
        <f t="shared" si="7"/>
        <v>42002</v>
      </c>
      <c r="E167" s="21">
        <f t="shared" si="8"/>
        <v>42009</v>
      </c>
      <c r="F167" s="21">
        <f t="shared" si="9"/>
        <v>41995</v>
      </c>
      <c r="G167">
        <v>157</v>
      </c>
    </row>
    <row r="168" spans="2:7" x14ac:dyDescent="0.35">
      <c r="B168" t="s">
        <v>73</v>
      </c>
      <c r="C168" t="s">
        <v>196</v>
      </c>
      <c r="D168" s="21">
        <f t="shared" si="7"/>
        <v>42009</v>
      </c>
      <c r="E168" s="21">
        <f t="shared" si="8"/>
        <v>42016</v>
      </c>
      <c r="F168" s="21">
        <f t="shared" si="9"/>
        <v>42002</v>
      </c>
      <c r="G168">
        <v>158</v>
      </c>
    </row>
    <row r="169" spans="2:7" x14ac:dyDescent="0.35">
      <c r="B169" t="s">
        <v>73</v>
      </c>
      <c r="C169" t="s">
        <v>196</v>
      </c>
      <c r="D169" s="21">
        <f t="shared" si="7"/>
        <v>42016</v>
      </c>
      <c r="E169" s="21">
        <f t="shared" si="8"/>
        <v>42023</v>
      </c>
      <c r="F169" s="21">
        <f t="shared" si="9"/>
        <v>42009</v>
      </c>
      <c r="G169">
        <v>159</v>
      </c>
    </row>
    <row r="170" spans="2:7" x14ac:dyDescent="0.35">
      <c r="B170" t="s">
        <v>73</v>
      </c>
      <c r="C170" t="s">
        <v>196</v>
      </c>
      <c r="D170" s="21">
        <f t="shared" si="7"/>
        <v>42023</v>
      </c>
      <c r="E170" s="21">
        <f t="shared" si="8"/>
        <v>42030</v>
      </c>
      <c r="F170" s="21">
        <f t="shared" si="9"/>
        <v>42016</v>
      </c>
      <c r="G170">
        <v>160</v>
      </c>
    </row>
    <row r="171" spans="2:7" x14ac:dyDescent="0.35">
      <c r="B171" t="s">
        <v>73</v>
      </c>
      <c r="C171" t="s">
        <v>196</v>
      </c>
      <c r="D171" s="21">
        <f t="shared" si="7"/>
        <v>42030</v>
      </c>
      <c r="E171" s="21">
        <f t="shared" si="8"/>
        <v>42037</v>
      </c>
      <c r="F171" s="21">
        <f t="shared" si="9"/>
        <v>42023</v>
      </c>
      <c r="G171">
        <v>161</v>
      </c>
    </row>
    <row r="172" spans="2:7" x14ac:dyDescent="0.35">
      <c r="B172" t="s">
        <v>73</v>
      </c>
      <c r="C172" t="s">
        <v>196</v>
      </c>
      <c r="D172" s="21">
        <f t="shared" si="7"/>
        <v>42037</v>
      </c>
      <c r="E172" s="21">
        <f t="shared" si="8"/>
        <v>42044</v>
      </c>
      <c r="F172" s="21">
        <f t="shared" si="9"/>
        <v>42030</v>
      </c>
      <c r="G172">
        <v>162</v>
      </c>
    </row>
    <row r="173" spans="2:7" x14ac:dyDescent="0.35">
      <c r="B173" t="s">
        <v>73</v>
      </c>
      <c r="C173" t="s">
        <v>196</v>
      </c>
      <c r="D173" s="21">
        <f t="shared" si="7"/>
        <v>42044</v>
      </c>
      <c r="E173" s="21">
        <f t="shared" si="8"/>
        <v>42051</v>
      </c>
      <c r="F173" s="21">
        <f t="shared" si="9"/>
        <v>42037</v>
      </c>
      <c r="G173">
        <v>163</v>
      </c>
    </row>
    <row r="174" spans="2:7" x14ac:dyDescent="0.35">
      <c r="B174" t="s">
        <v>73</v>
      </c>
      <c r="C174" t="s">
        <v>196</v>
      </c>
      <c r="D174" s="21">
        <f t="shared" si="7"/>
        <v>42051</v>
      </c>
      <c r="E174" s="21">
        <f t="shared" si="8"/>
        <v>42058</v>
      </c>
      <c r="F174" s="21">
        <f t="shared" si="9"/>
        <v>42044</v>
      </c>
      <c r="G174">
        <v>164</v>
      </c>
    </row>
    <row r="175" spans="2:7" x14ac:dyDescent="0.35">
      <c r="B175" t="s">
        <v>73</v>
      </c>
      <c r="C175" t="s">
        <v>196</v>
      </c>
      <c r="D175" s="21">
        <f t="shared" si="7"/>
        <v>42058</v>
      </c>
      <c r="E175" s="21">
        <f t="shared" si="8"/>
        <v>42065</v>
      </c>
      <c r="F175" s="21">
        <f t="shared" si="9"/>
        <v>42051</v>
      </c>
      <c r="G175">
        <v>165</v>
      </c>
    </row>
    <row r="176" spans="2:7" x14ac:dyDescent="0.35">
      <c r="B176" t="s">
        <v>73</v>
      </c>
      <c r="C176" t="s">
        <v>196</v>
      </c>
      <c r="D176" s="21">
        <f t="shared" si="7"/>
        <v>42065</v>
      </c>
      <c r="E176" s="21">
        <f t="shared" si="8"/>
        <v>42072</v>
      </c>
      <c r="F176" s="21">
        <f t="shared" si="9"/>
        <v>42058</v>
      </c>
      <c r="G176">
        <v>166</v>
      </c>
    </row>
    <row r="177" spans="2:7" x14ac:dyDescent="0.35">
      <c r="B177" t="s">
        <v>73</v>
      </c>
      <c r="C177" t="s">
        <v>196</v>
      </c>
      <c r="D177" s="21">
        <f t="shared" si="7"/>
        <v>42072</v>
      </c>
      <c r="E177" s="21">
        <f t="shared" si="8"/>
        <v>42079</v>
      </c>
      <c r="F177" s="21">
        <f t="shared" si="9"/>
        <v>42065</v>
      </c>
      <c r="G177">
        <v>167</v>
      </c>
    </row>
    <row r="178" spans="2:7" x14ac:dyDescent="0.35">
      <c r="B178" t="s">
        <v>73</v>
      </c>
      <c r="C178" t="s">
        <v>196</v>
      </c>
      <c r="D178" s="21">
        <f t="shared" si="7"/>
        <v>42079</v>
      </c>
      <c r="E178" s="21">
        <f t="shared" si="8"/>
        <v>42086</v>
      </c>
      <c r="F178" s="21">
        <f t="shared" si="9"/>
        <v>42072</v>
      </c>
      <c r="G178">
        <v>168</v>
      </c>
    </row>
    <row r="179" spans="2:7" x14ac:dyDescent="0.35">
      <c r="B179" t="s">
        <v>73</v>
      </c>
      <c r="C179" t="s">
        <v>196</v>
      </c>
      <c r="D179" s="21">
        <f t="shared" si="7"/>
        <v>42086</v>
      </c>
      <c r="E179" s="21">
        <f t="shared" si="8"/>
        <v>42093</v>
      </c>
      <c r="F179" s="21">
        <f t="shared" si="9"/>
        <v>42079</v>
      </c>
      <c r="G179">
        <v>169</v>
      </c>
    </row>
    <row r="180" spans="2:7" x14ac:dyDescent="0.35">
      <c r="B180" t="s">
        <v>73</v>
      </c>
      <c r="C180" t="s">
        <v>196</v>
      </c>
      <c r="D180" s="21">
        <f t="shared" si="7"/>
        <v>42093</v>
      </c>
      <c r="E180" s="21">
        <f t="shared" si="8"/>
        <v>42100</v>
      </c>
      <c r="F180" s="21">
        <f t="shared" si="9"/>
        <v>42086</v>
      </c>
      <c r="G180">
        <v>170</v>
      </c>
    </row>
    <row r="181" spans="2:7" x14ac:dyDescent="0.35">
      <c r="B181" t="s">
        <v>73</v>
      </c>
      <c r="C181" t="s">
        <v>196</v>
      </c>
      <c r="D181" s="21">
        <f t="shared" si="7"/>
        <v>42100</v>
      </c>
      <c r="E181" s="21">
        <f t="shared" si="8"/>
        <v>42107</v>
      </c>
      <c r="F181" s="21">
        <f t="shared" si="9"/>
        <v>42093</v>
      </c>
      <c r="G181">
        <v>171</v>
      </c>
    </row>
    <row r="182" spans="2:7" x14ac:dyDescent="0.35">
      <c r="B182" t="s">
        <v>73</v>
      </c>
      <c r="C182" t="s">
        <v>196</v>
      </c>
      <c r="D182" s="21">
        <f t="shared" si="7"/>
        <v>42107</v>
      </c>
      <c r="E182" s="21">
        <f t="shared" si="8"/>
        <v>42114</v>
      </c>
      <c r="F182" s="21">
        <f t="shared" si="9"/>
        <v>42100</v>
      </c>
      <c r="G182">
        <v>172</v>
      </c>
    </row>
    <row r="183" spans="2:7" x14ac:dyDescent="0.35">
      <c r="B183" t="s">
        <v>73</v>
      </c>
      <c r="C183" t="s">
        <v>196</v>
      </c>
      <c r="D183" s="21">
        <f t="shared" si="7"/>
        <v>42114</v>
      </c>
      <c r="E183" s="21">
        <f t="shared" si="8"/>
        <v>42121</v>
      </c>
      <c r="F183" s="21">
        <f t="shared" si="9"/>
        <v>42107</v>
      </c>
      <c r="G183">
        <v>173</v>
      </c>
    </row>
    <row r="184" spans="2:7" x14ac:dyDescent="0.35">
      <c r="B184" t="s">
        <v>73</v>
      </c>
      <c r="C184" t="s">
        <v>196</v>
      </c>
      <c r="D184" s="21">
        <f t="shared" si="7"/>
        <v>42121</v>
      </c>
      <c r="E184" s="21">
        <f t="shared" si="8"/>
        <v>42128</v>
      </c>
      <c r="F184" s="21">
        <f t="shared" si="9"/>
        <v>42114</v>
      </c>
      <c r="G184">
        <v>174</v>
      </c>
    </row>
    <row r="185" spans="2:7" x14ac:dyDescent="0.35">
      <c r="B185" t="s">
        <v>73</v>
      </c>
      <c r="C185" t="s">
        <v>196</v>
      </c>
      <c r="D185" s="21">
        <f t="shared" si="7"/>
        <v>42128</v>
      </c>
      <c r="E185" s="21">
        <f t="shared" si="8"/>
        <v>42135</v>
      </c>
      <c r="F185" s="21">
        <f t="shared" si="9"/>
        <v>42121</v>
      </c>
      <c r="G185">
        <v>175</v>
      </c>
    </row>
    <row r="186" spans="2:7" x14ac:dyDescent="0.35">
      <c r="B186" t="s">
        <v>73</v>
      </c>
      <c r="C186" t="s">
        <v>196</v>
      </c>
      <c r="D186" s="21">
        <f t="shared" si="7"/>
        <v>42135</v>
      </c>
      <c r="E186" s="21">
        <f t="shared" si="8"/>
        <v>42142</v>
      </c>
      <c r="F186" s="21">
        <f t="shared" si="9"/>
        <v>42128</v>
      </c>
      <c r="G186">
        <v>176</v>
      </c>
    </row>
    <row r="187" spans="2:7" x14ac:dyDescent="0.35">
      <c r="B187" t="s">
        <v>73</v>
      </c>
      <c r="C187" t="s">
        <v>196</v>
      </c>
      <c r="D187" s="21">
        <f t="shared" si="7"/>
        <v>42142</v>
      </c>
      <c r="E187" s="21">
        <f t="shared" si="8"/>
        <v>42149</v>
      </c>
      <c r="F187" s="21">
        <f t="shared" si="9"/>
        <v>42135</v>
      </c>
      <c r="G187">
        <v>177</v>
      </c>
    </row>
    <row r="188" spans="2:7" x14ac:dyDescent="0.35">
      <c r="B188" t="s">
        <v>73</v>
      </c>
      <c r="C188" t="s">
        <v>196</v>
      </c>
      <c r="D188" s="21">
        <f t="shared" si="7"/>
        <v>42149</v>
      </c>
      <c r="E188" s="21">
        <f t="shared" si="8"/>
        <v>42156</v>
      </c>
      <c r="F188" s="21">
        <f t="shared" si="9"/>
        <v>42142</v>
      </c>
      <c r="G188">
        <v>178</v>
      </c>
    </row>
    <row r="189" spans="2:7" x14ac:dyDescent="0.35">
      <c r="B189" t="s">
        <v>73</v>
      </c>
      <c r="C189" t="s">
        <v>196</v>
      </c>
      <c r="D189" s="21">
        <f t="shared" si="7"/>
        <v>42156</v>
      </c>
      <c r="E189" s="21">
        <f t="shared" si="8"/>
        <v>42163</v>
      </c>
      <c r="F189" s="21">
        <f t="shared" si="9"/>
        <v>42149</v>
      </c>
      <c r="G189">
        <v>179</v>
      </c>
    </row>
    <row r="190" spans="2:7" x14ac:dyDescent="0.35">
      <c r="B190" t="s">
        <v>73</v>
      </c>
      <c r="C190" t="s">
        <v>196</v>
      </c>
      <c r="D190" s="21">
        <f t="shared" si="7"/>
        <v>42163</v>
      </c>
      <c r="E190" s="21">
        <f t="shared" si="8"/>
        <v>42170</v>
      </c>
      <c r="F190" s="21">
        <f t="shared" si="9"/>
        <v>42156</v>
      </c>
      <c r="G190">
        <v>180</v>
      </c>
    </row>
    <row r="191" spans="2:7" x14ac:dyDescent="0.35">
      <c r="B191" t="s">
        <v>73</v>
      </c>
      <c r="C191" t="s">
        <v>196</v>
      </c>
      <c r="D191" s="21">
        <f t="shared" si="7"/>
        <v>42170</v>
      </c>
      <c r="E191" s="21">
        <f t="shared" si="8"/>
        <v>42177</v>
      </c>
      <c r="F191" s="21">
        <f t="shared" si="9"/>
        <v>42163</v>
      </c>
      <c r="G191">
        <v>181</v>
      </c>
    </row>
    <row r="192" spans="2:7" x14ac:dyDescent="0.35">
      <c r="B192" t="s">
        <v>73</v>
      </c>
      <c r="C192" t="s">
        <v>196</v>
      </c>
      <c r="D192" s="21">
        <f t="shared" si="7"/>
        <v>42177</v>
      </c>
      <c r="E192" s="21">
        <f t="shared" si="8"/>
        <v>42184</v>
      </c>
      <c r="F192" s="21">
        <f t="shared" si="9"/>
        <v>42170</v>
      </c>
      <c r="G192">
        <v>182</v>
      </c>
    </row>
    <row r="193" spans="2:7" x14ac:dyDescent="0.35">
      <c r="B193" t="s">
        <v>73</v>
      </c>
      <c r="C193" t="s">
        <v>196</v>
      </c>
      <c r="D193" s="21">
        <f t="shared" si="7"/>
        <v>42184</v>
      </c>
      <c r="E193" s="21">
        <f t="shared" si="8"/>
        <v>42191</v>
      </c>
      <c r="F193" s="21">
        <f t="shared" si="9"/>
        <v>42177</v>
      </c>
      <c r="G193">
        <v>183</v>
      </c>
    </row>
    <row r="194" spans="2:7" x14ac:dyDescent="0.35">
      <c r="B194" t="s">
        <v>73</v>
      </c>
      <c r="C194" t="s">
        <v>196</v>
      </c>
      <c r="D194" s="21">
        <f t="shared" si="7"/>
        <v>42191</v>
      </c>
      <c r="E194" s="21">
        <f t="shared" si="8"/>
        <v>42198</v>
      </c>
      <c r="F194" s="21">
        <f t="shared" si="9"/>
        <v>42184</v>
      </c>
      <c r="G194">
        <v>184</v>
      </c>
    </row>
    <row r="195" spans="2:7" x14ac:dyDescent="0.35">
      <c r="B195" t="s">
        <v>73</v>
      </c>
      <c r="C195" t="s">
        <v>196</v>
      </c>
      <c r="D195" s="21">
        <f t="shared" si="7"/>
        <v>42198</v>
      </c>
      <c r="E195" s="21">
        <f t="shared" si="8"/>
        <v>42205</v>
      </c>
      <c r="F195" s="21">
        <f t="shared" si="9"/>
        <v>42191</v>
      </c>
      <c r="G195">
        <v>185</v>
      </c>
    </row>
    <row r="196" spans="2:7" x14ac:dyDescent="0.35">
      <c r="B196" t="s">
        <v>73</v>
      </c>
      <c r="C196" t="s">
        <v>196</v>
      </c>
      <c r="D196" s="21">
        <f t="shared" ref="D196:D259" si="10">D195+7</f>
        <v>42205</v>
      </c>
      <c r="E196" s="21">
        <f t="shared" si="8"/>
        <v>42212</v>
      </c>
      <c r="F196" s="21">
        <f t="shared" si="9"/>
        <v>42198</v>
      </c>
      <c r="G196">
        <v>186</v>
      </c>
    </row>
    <row r="197" spans="2:7" x14ac:dyDescent="0.35">
      <c r="B197" t="s">
        <v>73</v>
      </c>
      <c r="C197" t="s">
        <v>196</v>
      </c>
      <c r="D197" s="21">
        <f t="shared" si="10"/>
        <v>42212</v>
      </c>
      <c r="E197" s="21">
        <f t="shared" si="8"/>
        <v>42219</v>
      </c>
      <c r="F197" s="21">
        <f t="shared" si="9"/>
        <v>42205</v>
      </c>
      <c r="G197">
        <v>187</v>
      </c>
    </row>
    <row r="198" spans="2:7" x14ac:dyDescent="0.35">
      <c r="B198" t="s">
        <v>73</v>
      </c>
      <c r="C198" t="s">
        <v>196</v>
      </c>
      <c r="D198" s="21">
        <f t="shared" si="10"/>
        <v>42219</v>
      </c>
      <c r="E198" s="21">
        <f t="shared" si="8"/>
        <v>42226</v>
      </c>
      <c r="F198" s="21">
        <f t="shared" si="9"/>
        <v>42212</v>
      </c>
      <c r="G198">
        <v>188</v>
      </c>
    </row>
    <row r="199" spans="2:7" x14ac:dyDescent="0.35">
      <c r="B199" t="s">
        <v>73</v>
      </c>
      <c r="C199" t="s">
        <v>196</v>
      </c>
      <c r="D199" s="21">
        <f t="shared" si="10"/>
        <v>42226</v>
      </c>
      <c r="E199" s="21">
        <f t="shared" si="8"/>
        <v>42233</v>
      </c>
      <c r="F199" s="21">
        <f t="shared" si="9"/>
        <v>42219</v>
      </c>
      <c r="G199">
        <v>189</v>
      </c>
    </row>
    <row r="200" spans="2:7" x14ac:dyDescent="0.35">
      <c r="B200" t="s">
        <v>73</v>
      </c>
      <c r="C200" t="s">
        <v>196</v>
      </c>
      <c r="D200" s="21">
        <f t="shared" si="10"/>
        <v>42233</v>
      </c>
      <c r="E200" s="21">
        <f t="shared" si="8"/>
        <v>42240</v>
      </c>
      <c r="F200" s="21">
        <f t="shared" si="9"/>
        <v>42226</v>
      </c>
      <c r="G200">
        <v>190</v>
      </c>
    </row>
    <row r="201" spans="2:7" x14ac:dyDescent="0.35">
      <c r="B201" t="s">
        <v>73</v>
      </c>
      <c r="C201" t="s">
        <v>196</v>
      </c>
      <c r="D201" s="21">
        <f t="shared" si="10"/>
        <v>42240</v>
      </c>
      <c r="E201" s="21">
        <f t="shared" si="8"/>
        <v>42247</v>
      </c>
      <c r="F201" s="21">
        <f t="shared" si="9"/>
        <v>42233</v>
      </c>
      <c r="G201">
        <v>191</v>
      </c>
    </row>
    <row r="202" spans="2:7" x14ac:dyDescent="0.35">
      <c r="B202" t="s">
        <v>73</v>
      </c>
      <c r="C202" t="s">
        <v>196</v>
      </c>
      <c r="D202" s="21">
        <f t="shared" si="10"/>
        <v>42247</v>
      </c>
      <c r="E202" s="21">
        <f t="shared" si="8"/>
        <v>42254</v>
      </c>
      <c r="F202" s="21">
        <f t="shared" si="9"/>
        <v>42240</v>
      </c>
      <c r="G202">
        <v>192</v>
      </c>
    </row>
    <row r="203" spans="2:7" x14ac:dyDescent="0.35">
      <c r="B203" t="s">
        <v>73</v>
      </c>
      <c r="C203" t="s">
        <v>196</v>
      </c>
      <c r="D203" s="21">
        <f t="shared" si="10"/>
        <v>42254</v>
      </c>
      <c r="E203" s="21">
        <f t="shared" si="8"/>
        <v>42261</v>
      </c>
      <c r="F203" s="21">
        <f t="shared" si="9"/>
        <v>42247</v>
      </c>
      <c r="G203">
        <v>193</v>
      </c>
    </row>
    <row r="204" spans="2:7" x14ac:dyDescent="0.35">
      <c r="B204" t="s">
        <v>73</v>
      </c>
      <c r="C204" t="s">
        <v>196</v>
      </c>
      <c r="D204" s="21">
        <f t="shared" si="10"/>
        <v>42261</v>
      </c>
      <c r="E204" s="21">
        <f t="shared" ref="E204:E267" si="11">D204+7</f>
        <v>42268</v>
      </c>
      <c r="F204" s="21">
        <f t="shared" ref="F204:F267" si="12">D204-7</f>
        <v>42254</v>
      </c>
      <c r="G204">
        <v>194</v>
      </c>
    </row>
    <row r="205" spans="2:7" x14ac:dyDescent="0.35">
      <c r="B205" t="s">
        <v>73</v>
      </c>
      <c r="C205" t="s">
        <v>196</v>
      </c>
      <c r="D205" s="21">
        <f t="shared" si="10"/>
        <v>42268</v>
      </c>
      <c r="E205" s="21">
        <f t="shared" si="11"/>
        <v>42275</v>
      </c>
      <c r="F205" s="21">
        <f t="shared" si="12"/>
        <v>42261</v>
      </c>
      <c r="G205">
        <v>195</v>
      </c>
    </row>
    <row r="206" spans="2:7" x14ac:dyDescent="0.35">
      <c r="B206" t="s">
        <v>73</v>
      </c>
      <c r="C206" t="s">
        <v>196</v>
      </c>
      <c r="D206" s="21">
        <f t="shared" si="10"/>
        <v>42275</v>
      </c>
      <c r="E206" s="21">
        <f t="shared" si="11"/>
        <v>42282</v>
      </c>
      <c r="F206" s="21">
        <f t="shared" si="12"/>
        <v>42268</v>
      </c>
      <c r="G206">
        <v>196</v>
      </c>
    </row>
    <row r="207" spans="2:7" x14ac:dyDescent="0.35">
      <c r="B207" t="s">
        <v>73</v>
      </c>
      <c r="C207" t="s">
        <v>196</v>
      </c>
      <c r="D207" s="21">
        <f t="shared" si="10"/>
        <v>42282</v>
      </c>
      <c r="E207" s="21">
        <f t="shared" si="11"/>
        <v>42289</v>
      </c>
      <c r="F207" s="21">
        <f t="shared" si="12"/>
        <v>42275</v>
      </c>
      <c r="G207">
        <v>197</v>
      </c>
    </row>
    <row r="208" spans="2:7" x14ac:dyDescent="0.35">
      <c r="B208" t="s">
        <v>73</v>
      </c>
      <c r="C208" t="s">
        <v>196</v>
      </c>
      <c r="D208" s="21">
        <f t="shared" si="10"/>
        <v>42289</v>
      </c>
      <c r="E208" s="21">
        <f t="shared" si="11"/>
        <v>42296</v>
      </c>
      <c r="F208" s="21">
        <f t="shared" si="12"/>
        <v>42282</v>
      </c>
      <c r="G208">
        <v>198</v>
      </c>
    </row>
    <row r="209" spans="2:7" x14ac:dyDescent="0.35">
      <c r="B209" t="s">
        <v>73</v>
      </c>
      <c r="C209" t="s">
        <v>196</v>
      </c>
      <c r="D209" s="21">
        <f t="shared" si="10"/>
        <v>42296</v>
      </c>
      <c r="E209" s="21">
        <f t="shared" si="11"/>
        <v>42303</v>
      </c>
      <c r="F209" s="21">
        <f t="shared" si="12"/>
        <v>42289</v>
      </c>
      <c r="G209">
        <v>199</v>
      </c>
    </row>
    <row r="210" spans="2:7" x14ac:dyDescent="0.35">
      <c r="B210" t="s">
        <v>73</v>
      </c>
      <c r="C210" t="s">
        <v>196</v>
      </c>
      <c r="D210" s="21">
        <f t="shared" si="10"/>
        <v>42303</v>
      </c>
      <c r="E210" s="21">
        <f t="shared" si="11"/>
        <v>42310</v>
      </c>
      <c r="F210" s="21">
        <f t="shared" si="12"/>
        <v>42296</v>
      </c>
      <c r="G210">
        <v>200</v>
      </c>
    </row>
    <row r="211" spans="2:7" x14ac:dyDescent="0.35">
      <c r="B211" t="s">
        <v>73</v>
      </c>
      <c r="C211" t="s">
        <v>196</v>
      </c>
      <c r="D211" s="21">
        <f t="shared" si="10"/>
        <v>42310</v>
      </c>
      <c r="E211" s="21">
        <f t="shared" si="11"/>
        <v>42317</v>
      </c>
      <c r="F211" s="21">
        <f t="shared" si="12"/>
        <v>42303</v>
      </c>
      <c r="G211">
        <v>201</v>
      </c>
    </row>
    <row r="212" spans="2:7" x14ac:dyDescent="0.35">
      <c r="B212" t="s">
        <v>73</v>
      </c>
      <c r="C212" t="s">
        <v>196</v>
      </c>
      <c r="D212" s="21">
        <f t="shared" si="10"/>
        <v>42317</v>
      </c>
      <c r="E212" s="21">
        <f t="shared" si="11"/>
        <v>42324</v>
      </c>
      <c r="F212" s="21">
        <f t="shared" si="12"/>
        <v>42310</v>
      </c>
      <c r="G212">
        <v>202</v>
      </c>
    </row>
    <row r="213" spans="2:7" x14ac:dyDescent="0.35">
      <c r="B213" t="s">
        <v>73</v>
      </c>
      <c r="C213" t="s">
        <v>196</v>
      </c>
      <c r="D213" s="21">
        <f t="shared" si="10"/>
        <v>42324</v>
      </c>
      <c r="E213" s="21">
        <f t="shared" si="11"/>
        <v>42331</v>
      </c>
      <c r="F213" s="21">
        <f t="shared" si="12"/>
        <v>42317</v>
      </c>
      <c r="G213">
        <v>203</v>
      </c>
    </row>
    <row r="214" spans="2:7" x14ac:dyDescent="0.35">
      <c r="B214" t="s">
        <v>73</v>
      </c>
      <c r="C214" t="s">
        <v>196</v>
      </c>
      <c r="D214" s="21">
        <f t="shared" si="10"/>
        <v>42331</v>
      </c>
      <c r="E214" s="21">
        <f t="shared" si="11"/>
        <v>42338</v>
      </c>
      <c r="F214" s="21">
        <f t="shared" si="12"/>
        <v>42324</v>
      </c>
      <c r="G214">
        <v>204</v>
      </c>
    </row>
    <row r="215" spans="2:7" x14ac:dyDescent="0.35">
      <c r="B215" t="s">
        <v>73</v>
      </c>
      <c r="C215" t="s">
        <v>196</v>
      </c>
      <c r="D215" s="21">
        <f t="shared" si="10"/>
        <v>42338</v>
      </c>
      <c r="E215" s="21">
        <f t="shared" si="11"/>
        <v>42345</v>
      </c>
      <c r="F215" s="21">
        <f t="shared" si="12"/>
        <v>42331</v>
      </c>
      <c r="G215">
        <v>205</v>
      </c>
    </row>
    <row r="216" spans="2:7" x14ac:dyDescent="0.35">
      <c r="B216" t="s">
        <v>73</v>
      </c>
      <c r="C216" t="s">
        <v>196</v>
      </c>
      <c r="D216" s="21">
        <f t="shared" si="10"/>
        <v>42345</v>
      </c>
      <c r="E216" s="21">
        <f t="shared" si="11"/>
        <v>42352</v>
      </c>
      <c r="F216" s="21">
        <f t="shared" si="12"/>
        <v>42338</v>
      </c>
      <c r="G216">
        <v>206</v>
      </c>
    </row>
    <row r="217" spans="2:7" x14ac:dyDescent="0.35">
      <c r="B217" t="s">
        <v>73</v>
      </c>
      <c r="C217" t="s">
        <v>196</v>
      </c>
      <c r="D217" s="21">
        <f t="shared" si="10"/>
        <v>42352</v>
      </c>
      <c r="E217" s="21">
        <f t="shared" si="11"/>
        <v>42359</v>
      </c>
      <c r="F217" s="21">
        <f t="shared" si="12"/>
        <v>42345</v>
      </c>
      <c r="G217">
        <v>207</v>
      </c>
    </row>
    <row r="218" spans="2:7" x14ac:dyDescent="0.35">
      <c r="B218" t="s">
        <v>73</v>
      </c>
      <c r="C218" t="s">
        <v>196</v>
      </c>
      <c r="D218" s="21">
        <f t="shared" si="10"/>
        <v>42359</v>
      </c>
      <c r="E218" s="21">
        <f t="shared" si="11"/>
        <v>42366</v>
      </c>
      <c r="F218" s="21">
        <f t="shared" si="12"/>
        <v>42352</v>
      </c>
      <c r="G218">
        <v>208</v>
      </c>
    </row>
    <row r="219" spans="2:7" x14ac:dyDescent="0.35">
      <c r="B219" t="s">
        <v>73</v>
      </c>
      <c r="C219" t="s">
        <v>196</v>
      </c>
      <c r="D219" s="21">
        <f t="shared" si="10"/>
        <v>42366</v>
      </c>
      <c r="E219" s="21">
        <f t="shared" si="11"/>
        <v>42373</v>
      </c>
      <c r="F219" s="21">
        <f t="shared" si="12"/>
        <v>42359</v>
      </c>
      <c r="G219">
        <v>209</v>
      </c>
    </row>
    <row r="220" spans="2:7" x14ac:dyDescent="0.35">
      <c r="B220" t="s">
        <v>73</v>
      </c>
      <c r="C220" t="s">
        <v>196</v>
      </c>
      <c r="D220" s="21">
        <f t="shared" si="10"/>
        <v>42373</v>
      </c>
      <c r="E220" s="21">
        <f t="shared" si="11"/>
        <v>42380</v>
      </c>
      <c r="F220" s="21">
        <f t="shared" si="12"/>
        <v>42366</v>
      </c>
      <c r="G220">
        <v>210</v>
      </c>
    </row>
    <row r="221" spans="2:7" x14ac:dyDescent="0.35">
      <c r="B221" t="s">
        <v>73</v>
      </c>
      <c r="C221" t="s">
        <v>196</v>
      </c>
      <c r="D221" s="21">
        <f t="shared" si="10"/>
        <v>42380</v>
      </c>
      <c r="E221" s="21">
        <f t="shared" si="11"/>
        <v>42387</v>
      </c>
      <c r="F221" s="21">
        <f t="shared" si="12"/>
        <v>42373</v>
      </c>
      <c r="G221">
        <v>211</v>
      </c>
    </row>
    <row r="222" spans="2:7" x14ac:dyDescent="0.35">
      <c r="B222" t="s">
        <v>73</v>
      </c>
      <c r="C222" t="s">
        <v>196</v>
      </c>
      <c r="D222" s="21">
        <f t="shared" si="10"/>
        <v>42387</v>
      </c>
      <c r="E222" s="21">
        <f t="shared" si="11"/>
        <v>42394</v>
      </c>
      <c r="F222" s="21">
        <f t="shared" si="12"/>
        <v>42380</v>
      </c>
      <c r="G222">
        <v>212</v>
      </c>
    </row>
    <row r="223" spans="2:7" x14ac:dyDescent="0.35">
      <c r="B223" t="s">
        <v>73</v>
      </c>
      <c r="C223" t="s">
        <v>196</v>
      </c>
      <c r="D223" s="21">
        <f t="shared" si="10"/>
        <v>42394</v>
      </c>
      <c r="E223" s="21">
        <f t="shared" si="11"/>
        <v>42401</v>
      </c>
      <c r="F223" s="21">
        <f t="shared" si="12"/>
        <v>42387</v>
      </c>
      <c r="G223">
        <v>213</v>
      </c>
    </row>
    <row r="224" spans="2:7" x14ac:dyDescent="0.35">
      <c r="B224" t="s">
        <v>73</v>
      </c>
      <c r="C224" t="s">
        <v>196</v>
      </c>
      <c r="D224" s="21">
        <f t="shared" si="10"/>
        <v>42401</v>
      </c>
      <c r="E224" s="21">
        <f t="shared" si="11"/>
        <v>42408</v>
      </c>
      <c r="F224" s="21">
        <f t="shared" si="12"/>
        <v>42394</v>
      </c>
      <c r="G224">
        <v>214</v>
      </c>
    </row>
    <row r="225" spans="2:7" x14ac:dyDescent="0.35">
      <c r="B225" t="s">
        <v>73</v>
      </c>
      <c r="C225" t="s">
        <v>196</v>
      </c>
      <c r="D225" s="21">
        <f t="shared" si="10"/>
        <v>42408</v>
      </c>
      <c r="E225" s="21">
        <f t="shared" si="11"/>
        <v>42415</v>
      </c>
      <c r="F225" s="21">
        <f t="shared" si="12"/>
        <v>42401</v>
      </c>
      <c r="G225">
        <v>215</v>
      </c>
    </row>
    <row r="226" spans="2:7" x14ac:dyDescent="0.35">
      <c r="B226" t="s">
        <v>73</v>
      </c>
      <c r="C226" t="s">
        <v>196</v>
      </c>
      <c r="D226" s="21">
        <f t="shared" si="10"/>
        <v>42415</v>
      </c>
      <c r="E226" s="21">
        <f t="shared" si="11"/>
        <v>42422</v>
      </c>
      <c r="F226" s="21">
        <f t="shared" si="12"/>
        <v>42408</v>
      </c>
      <c r="G226">
        <v>216</v>
      </c>
    </row>
    <row r="227" spans="2:7" x14ac:dyDescent="0.35">
      <c r="B227" t="s">
        <v>73</v>
      </c>
      <c r="C227" t="s">
        <v>196</v>
      </c>
      <c r="D227" s="21">
        <f t="shared" si="10"/>
        <v>42422</v>
      </c>
      <c r="E227" s="21">
        <f t="shared" si="11"/>
        <v>42429</v>
      </c>
      <c r="F227" s="21">
        <f t="shared" si="12"/>
        <v>42415</v>
      </c>
      <c r="G227">
        <v>217</v>
      </c>
    </row>
    <row r="228" spans="2:7" x14ac:dyDescent="0.35">
      <c r="B228" t="s">
        <v>73</v>
      </c>
      <c r="C228" t="s">
        <v>196</v>
      </c>
      <c r="D228" s="21">
        <f t="shared" si="10"/>
        <v>42429</v>
      </c>
      <c r="E228" s="21">
        <f t="shared" si="11"/>
        <v>42436</v>
      </c>
      <c r="F228" s="21">
        <f t="shared" si="12"/>
        <v>42422</v>
      </c>
      <c r="G228">
        <v>218</v>
      </c>
    </row>
    <row r="229" spans="2:7" x14ac:dyDescent="0.35">
      <c r="B229" t="s">
        <v>73</v>
      </c>
      <c r="C229" t="s">
        <v>196</v>
      </c>
      <c r="D229" s="21">
        <f t="shared" si="10"/>
        <v>42436</v>
      </c>
      <c r="E229" s="21">
        <f t="shared" si="11"/>
        <v>42443</v>
      </c>
      <c r="F229" s="21">
        <f t="shared" si="12"/>
        <v>42429</v>
      </c>
      <c r="G229">
        <v>219</v>
      </c>
    </row>
    <row r="230" spans="2:7" x14ac:dyDescent="0.35">
      <c r="B230" t="s">
        <v>73</v>
      </c>
      <c r="C230" t="s">
        <v>196</v>
      </c>
      <c r="D230" s="21">
        <f t="shared" si="10"/>
        <v>42443</v>
      </c>
      <c r="E230" s="21">
        <f t="shared" si="11"/>
        <v>42450</v>
      </c>
      <c r="F230" s="21">
        <f t="shared" si="12"/>
        <v>42436</v>
      </c>
      <c r="G230">
        <v>220</v>
      </c>
    </row>
    <row r="231" spans="2:7" x14ac:dyDescent="0.35">
      <c r="B231" t="s">
        <v>73</v>
      </c>
      <c r="C231" t="s">
        <v>196</v>
      </c>
      <c r="D231" s="21">
        <f t="shared" si="10"/>
        <v>42450</v>
      </c>
      <c r="E231" s="21">
        <f t="shared" si="11"/>
        <v>42457</v>
      </c>
      <c r="F231" s="21">
        <f t="shared" si="12"/>
        <v>42443</v>
      </c>
      <c r="G231">
        <v>221</v>
      </c>
    </row>
    <row r="232" spans="2:7" x14ac:dyDescent="0.35">
      <c r="B232" t="s">
        <v>73</v>
      </c>
      <c r="C232" t="s">
        <v>196</v>
      </c>
      <c r="D232" s="21">
        <f t="shared" si="10"/>
        <v>42457</v>
      </c>
      <c r="E232" s="21">
        <f t="shared" si="11"/>
        <v>42464</v>
      </c>
      <c r="F232" s="21">
        <f t="shared" si="12"/>
        <v>42450</v>
      </c>
      <c r="G232">
        <v>222</v>
      </c>
    </row>
    <row r="233" spans="2:7" x14ac:dyDescent="0.35">
      <c r="B233" t="s">
        <v>73</v>
      </c>
      <c r="C233" t="s">
        <v>196</v>
      </c>
      <c r="D233" s="21">
        <f t="shared" si="10"/>
        <v>42464</v>
      </c>
      <c r="E233" s="21">
        <f t="shared" si="11"/>
        <v>42471</v>
      </c>
      <c r="F233" s="21">
        <f t="shared" si="12"/>
        <v>42457</v>
      </c>
      <c r="G233">
        <v>223</v>
      </c>
    </row>
    <row r="234" spans="2:7" x14ac:dyDescent="0.35">
      <c r="B234" t="s">
        <v>73</v>
      </c>
      <c r="C234" t="s">
        <v>196</v>
      </c>
      <c r="D234" s="21">
        <f t="shared" si="10"/>
        <v>42471</v>
      </c>
      <c r="E234" s="21">
        <f t="shared" si="11"/>
        <v>42478</v>
      </c>
      <c r="F234" s="21">
        <f t="shared" si="12"/>
        <v>42464</v>
      </c>
      <c r="G234">
        <v>224</v>
      </c>
    </row>
    <row r="235" spans="2:7" x14ac:dyDescent="0.35">
      <c r="B235" t="s">
        <v>73</v>
      </c>
      <c r="C235" t="s">
        <v>196</v>
      </c>
      <c r="D235" s="21">
        <f t="shared" si="10"/>
        <v>42478</v>
      </c>
      <c r="E235" s="21">
        <f t="shared" si="11"/>
        <v>42485</v>
      </c>
      <c r="F235" s="21">
        <f t="shared" si="12"/>
        <v>42471</v>
      </c>
      <c r="G235">
        <v>225</v>
      </c>
    </row>
    <row r="236" spans="2:7" x14ac:dyDescent="0.35">
      <c r="B236" t="s">
        <v>73</v>
      </c>
      <c r="C236" t="s">
        <v>196</v>
      </c>
      <c r="D236" s="21">
        <f t="shared" si="10"/>
        <v>42485</v>
      </c>
      <c r="E236" s="21">
        <f t="shared" si="11"/>
        <v>42492</v>
      </c>
      <c r="F236" s="21">
        <f t="shared" si="12"/>
        <v>42478</v>
      </c>
      <c r="G236">
        <v>226</v>
      </c>
    </row>
    <row r="237" spans="2:7" x14ac:dyDescent="0.35">
      <c r="B237" t="s">
        <v>73</v>
      </c>
      <c r="C237" t="s">
        <v>196</v>
      </c>
      <c r="D237" s="21">
        <f t="shared" si="10"/>
        <v>42492</v>
      </c>
      <c r="E237" s="21">
        <f t="shared" si="11"/>
        <v>42499</v>
      </c>
      <c r="F237" s="21">
        <f t="shared" si="12"/>
        <v>42485</v>
      </c>
      <c r="G237">
        <v>227</v>
      </c>
    </row>
    <row r="238" spans="2:7" x14ac:dyDescent="0.35">
      <c r="B238" t="s">
        <v>73</v>
      </c>
      <c r="C238" t="s">
        <v>196</v>
      </c>
      <c r="D238" s="21">
        <f t="shared" si="10"/>
        <v>42499</v>
      </c>
      <c r="E238" s="21">
        <f t="shared" si="11"/>
        <v>42506</v>
      </c>
      <c r="F238" s="21">
        <f t="shared" si="12"/>
        <v>42492</v>
      </c>
      <c r="G238">
        <v>228</v>
      </c>
    </row>
    <row r="239" spans="2:7" x14ac:dyDescent="0.35">
      <c r="B239" t="s">
        <v>73</v>
      </c>
      <c r="C239" t="s">
        <v>196</v>
      </c>
      <c r="D239" s="21">
        <f t="shared" si="10"/>
        <v>42506</v>
      </c>
      <c r="E239" s="21">
        <f t="shared" si="11"/>
        <v>42513</v>
      </c>
      <c r="F239" s="21">
        <f t="shared" si="12"/>
        <v>42499</v>
      </c>
      <c r="G239">
        <v>229</v>
      </c>
    </row>
    <row r="240" spans="2:7" x14ac:dyDescent="0.35">
      <c r="B240" t="s">
        <v>73</v>
      </c>
      <c r="C240" t="s">
        <v>196</v>
      </c>
      <c r="D240" s="21">
        <f t="shared" si="10"/>
        <v>42513</v>
      </c>
      <c r="E240" s="21">
        <f t="shared" si="11"/>
        <v>42520</v>
      </c>
      <c r="F240" s="21">
        <f t="shared" si="12"/>
        <v>42506</v>
      </c>
      <c r="G240">
        <v>230</v>
      </c>
    </row>
    <row r="241" spans="2:7" x14ac:dyDescent="0.35">
      <c r="B241" t="s">
        <v>73</v>
      </c>
      <c r="C241" t="s">
        <v>196</v>
      </c>
      <c r="D241" s="21">
        <f t="shared" si="10"/>
        <v>42520</v>
      </c>
      <c r="E241" s="21">
        <f t="shared" si="11"/>
        <v>42527</v>
      </c>
      <c r="F241" s="21">
        <f t="shared" si="12"/>
        <v>42513</v>
      </c>
      <c r="G241">
        <v>231</v>
      </c>
    </row>
    <row r="242" spans="2:7" x14ac:dyDescent="0.35">
      <c r="B242" t="s">
        <v>73</v>
      </c>
      <c r="C242" t="s">
        <v>196</v>
      </c>
      <c r="D242" s="21">
        <f t="shared" si="10"/>
        <v>42527</v>
      </c>
      <c r="E242" s="21">
        <f t="shared" si="11"/>
        <v>42534</v>
      </c>
      <c r="F242" s="21">
        <f t="shared" si="12"/>
        <v>42520</v>
      </c>
      <c r="G242">
        <v>232</v>
      </c>
    </row>
    <row r="243" spans="2:7" x14ac:dyDescent="0.35">
      <c r="B243" t="s">
        <v>73</v>
      </c>
      <c r="C243" t="s">
        <v>196</v>
      </c>
      <c r="D243" s="21">
        <f t="shared" si="10"/>
        <v>42534</v>
      </c>
      <c r="E243" s="21">
        <f t="shared" si="11"/>
        <v>42541</v>
      </c>
      <c r="F243" s="21">
        <f t="shared" si="12"/>
        <v>42527</v>
      </c>
      <c r="G243">
        <v>233</v>
      </c>
    </row>
    <row r="244" spans="2:7" x14ac:dyDescent="0.35">
      <c r="B244" t="s">
        <v>73</v>
      </c>
      <c r="C244" t="s">
        <v>196</v>
      </c>
      <c r="D244" s="21">
        <f t="shared" si="10"/>
        <v>42541</v>
      </c>
      <c r="E244" s="21">
        <f t="shared" si="11"/>
        <v>42548</v>
      </c>
      <c r="F244" s="21">
        <f t="shared" si="12"/>
        <v>42534</v>
      </c>
      <c r="G244">
        <v>234</v>
      </c>
    </row>
    <row r="245" spans="2:7" x14ac:dyDescent="0.35">
      <c r="B245" t="s">
        <v>73</v>
      </c>
      <c r="C245" t="s">
        <v>196</v>
      </c>
      <c r="D245" s="21">
        <f t="shared" si="10"/>
        <v>42548</v>
      </c>
      <c r="E245" s="21">
        <f t="shared" si="11"/>
        <v>42555</v>
      </c>
      <c r="F245" s="21">
        <f t="shared" si="12"/>
        <v>42541</v>
      </c>
      <c r="G245">
        <v>235</v>
      </c>
    </row>
    <row r="246" spans="2:7" x14ac:dyDescent="0.35">
      <c r="B246" t="s">
        <v>73</v>
      </c>
      <c r="C246" t="s">
        <v>196</v>
      </c>
      <c r="D246" s="21">
        <f t="shared" si="10"/>
        <v>42555</v>
      </c>
      <c r="E246" s="21">
        <f t="shared" si="11"/>
        <v>42562</v>
      </c>
      <c r="F246" s="21">
        <f t="shared" si="12"/>
        <v>42548</v>
      </c>
      <c r="G246">
        <v>236</v>
      </c>
    </row>
    <row r="247" spans="2:7" x14ac:dyDescent="0.35">
      <c r="B247" t="s">
        <v>73</v>
      </c>
      <c r="C247" t="s">
        <v>196</v>
      </c>
      <c r="D247" s="21">
        <f t="shared" si="10"/>
        <v>42562</v>
      </c>
      <c r="E247" s="21">
        <f t="shared" si="11"/>
        <v>42569</v>
      </c>
      <c r="F247" s="21">
        <f t="shared" si="12"/>
        <v>42555</v>
      </c>
      <c r="G247">
        <v>237</v>
      </c>
    </row>
    <row r="248" spans="2:7" x14ac:dyDescent="0.35">
      <c r="B248" t="s">
        <v>73</v>
      </c>
      <c r="C248" t="s">
        <v>196</v>
      </c>
      <c r="D248" s="21">
        <f t="shared" si="10"/>
        <v>42569</v>
      </c>
      <c r="E248" s="21">
        <f t="shared" si="11"/>
        <v>42576</v>
      </c>
      <c r="F248" s="21">
        <f t="shared" si="12"/>
        <v>42562</v>
      </c>
      <c r="G248">
        <v>238</v>
      </c>
    </row>
    <row r="249" spans="2:7" x14ac:dyDescent="0.35">
      <c r="B249" t="s">
        <v>73</v>
      </c>
      <c r="C249" t="s">
        <v>196</v>
      </c>
      <c r="D249" s="21">
        <f t="shared" si="10"/>
        <v>42576</v>
      </c>
      <c r="E249" s="21">
        <f t="shared" si="11"/>
        <v>42583</v>
      </c>
      <c r="F249" s="21">
        <f t="shared" si="12"/>
        <v>42569</v>
      </c>
      <c r="G249">
        <v>239</v>
      </c>
    </row>
    <row r="250" spans="2:7" x14ac:dyDescent="0.35">
      <c r="B250" t="s">
        <v>73</v>
      </c>
      <c r="C250" t="s">
        <v>196</v>
      </c>
      <c r="D250" s="21">
        <f t="shared" si="10"/>
        <v>42583</v>
      </c>
      <c r="E250" s="21">
        <f t="shared" si="11"/>
        <v>42590</v>
      </c>
      <c r="F250" s="21">
        <f t="shared" si="12"/>
        <v>42576</v>
      </c>
      <c r="G250">
        <v>240</v>
      </c>
    </row>
    <row r="251" spans="2:7" x14ac:dyDescent="0.35">
      <c r="B251" t="s">
        <v>73</v>
      </c>
      <c r="C251" t="s">
        <v>196</v>
      </c>
      <c r="D251" s="21">
        <f t="shared" si="10"/>
        <v>42590</v>
      </c>
      <c r="E251" s="21">
        <f t="shared" si="11"/>
        <v>42597</v>
      </c>
      <c r="F251" s="21">
        <f t="shared" si="12"/>
        <v>42583</v>
      </c>
      <c r="G251">
        <v>241</v>
      </c>
    </row>
    <row r="252" spans="2:7" x14ac:dyDescent="0.35">
      <c r="B252" t="s">
        <v>73</v>
      </c>
      <c r="C252" t="s">
        <v>196</v>
      </c>
      <c r="D252" s="21">
        <f t="shared" si="10"/>
        <v>42597</v>
      </c>
      <c r="E252" s="21">
        <f t="shared" si="11"/>
        <v>42604</v>
      </c>
      <c r="F252" s="21">
        <f t="shared" si="12"/>
        <v>42590</v>
      </c>
      <c r="G252">
        <v>242</v>
      </c>
    </row>
    <row r="253" spans="2:7" x14ac:dyDescent="0.35">
      <c r="B253" t="s">
        <v>73</v>
      </c>
      <c r="C253" t="s">
        <v>196</v>
      </c>
      <c r="D253" s="21">
        <f t="shared" si="10"/>
        <v>42604</v>
      </c>
      <c r="E253" s="21">
        <f t="shared" si="11"/>
        <v>42611</v>
      </c>
      <c r="F253" s="21">
        <f t="shared" si="12"/>
        <v>42597</v>
      </c>
      <c r="G253">
        <v>243</v>
      </c>
    </row>
    <row r="254" spans="2:7" x14ac:dyDescent="0.35">
      <c r="B254" t="s">
        <v>73</v>
      </c>
      <c r="C254" t="s">
        <v>196</v>
      </c>
      <c r="D254" s="21">
        <f t="shared" si="10"/>
        <v>42611</v>
      </c>
      <c r="E254" s="21">
        <f t="shared" si="11"/>
        <v>42618</v>
      </c>
      <c r="F254" s="21">
        <f t="shared" si="12"/>
        <v>42604</v>
      </c>
      <c r="G254">
        <v>244</v>
      </c>
    </row>
    <row r="255" spans="2:7" x14ac:dyDescent="0.35">
      <c r="B255" t="s">
        <v>73</v>
      </c>
      <c r="C255" t="s">
        <v>196</v>
      </c>
      <c r="D255" s="21">
        <f t="shared" si="10"/>
        <v>42618</v>
      </c>
      <c r="E255" s="21">
        <f t="shared" si="11"/>
        <v>42625</v>
      </c>
      <c r="F255" s="21">
        <f t="shared" si="12"/>
        <v>42611</v>
      </c>
      <c r="G255">
        <v>245</v>
      </c>
    </row>
    <row r="256" spans="2:7" x14ac:dyDescent="0.35">
      <c r="B256" t="s">
        <v>73</v>
      </c>
      <c r="C256" t="s">
        <v>196</v>
      </c>
      <c r="D256" s="21">
        <f t="shared" si="10"/>
        <v>42625</v>
      </c>
      <c r="E256" s="21">
        <f t="shared" si="11"/>
        <v>42632</v>
      </c>
      <c r="F256" s="21">
        <f t="shared" si="12"/>
        <v>42618</v>
      </c>
      <c r="G256">
        <v>246</v>
      </c>
    </row>
    <row r="257" spans="2:7" x14ac:dyDescent="0.35">
      <c r="B257" t="s">
        <v>73</v>
      </c>
      <c r="C257" t="s">
        <v>196</v>
      </c>
      <c r="D257" s="21">
        <f t="shared" si="10"/>
        <v>42632</v>
      </c>
      <c r="E257" s="21">
        <f t="shared" si="11"/>
        <v>42639</v>
      </c>
      <c r="F257" s="21">
        <f t="shared" si="12"/>
        <v>42625</v>
      </c>
      <c r="G257">
        <v>247</v>
      </c>
    </row>
    <row r="258" spans="2:7" x14ac:dyDescent="0.35">
      <c r="B258" t="s">
        <v>73</v>
      </c>
      <c r="C258" t="s">
        <v>196</v>
      </c>
      <c r="D258" s="21">
        <f t="shared" si="10"/>
        <v>42639</v>
      </c>
      <c r="E258" s="21">
        <f t="shared" si="11"/>
        <v>42646</v>
      </c>
      <c r="F258" s="21">
        <f t="shared" si="12"/>
        <v>42632</v>
      </c>
      <c r="G258">
        <v>248</v>
      </c>
    </row>
    <row r="259" spans="2:7" x14ac:dyDescent="0.35">
      <c r="B259" t="s">
        <v>73</v>
      </c>
      <c r="C259" t="s">
        <v>196</v>
      </c>
      <c r="D259" s="21">
        <f t="shared" si="10"/>
        <v>42646</v>
      </c>
      <c r="E259" s="21">
        <f t="shared" si="11"/>
        <v>42653</v>
      </c>
      <c r="F259" s="21">
        <f t="shared" si="12"/>
        <v>42639</v>
      </c>
      <c r="G259">
        <v>249</v>
      </c>
    </row>
    <row r="260" spans="2:7" x14ac:dyDescent="0.35">
      <c r="B260" t="s">
        <v>73</v>
      </c>
      <c r="C260" t="s">
        <v>196</v>
      </c>
      <c r="D260" s="21">
        <f t="shared" ref="D260:D323" si="13">D259+7</f>
        <v>42653</v>
      </c>
      <c r="E260" s="21">
        <f t="shared" si="11"/>
        <v>42660</v>
      </c>
      <c r="F260" s="21">
        <f t="shared" si="12"/>
        <v>42646</v>
      </c>
      <c r="G260">
        <v>250</v>
      </c>
    </row>
    <row r="261" spans="2:7" x14ac:dyDescent="0.35">
      <c r="B261" t="s">
        <v>73</v>
      </c>
      <c r="C261" t="s">
        <v>196</v>
      </c>
      <c r="D261" s="21">
        <f t="shared" si="13"/>
        <v>42660</v>
      </c>
      <c r="E261" s="21">
        <f t="shared" si="11"/>
        <v>42667</v>
      </c>
      <c r="F261" s="21">
        <f t="shared" si="12"/>
        <v>42653</v>
      </c>
      <c r="G261">
        <v>251</v>
      </c>
    </row>
    <row r="262" spans="2:7" x14ac:dyDescent="0.35">
      <c r="B262" t="s">
        <v>73</v>
      </c>
      <c r="C262" t="s">
        <v>196</v>
      </c>
      <c r="D262" s="21">
        <f t="shared" si="13"/>
        <v>42667</v>
      </c>
      <c r="E262" s="21">
        <f t="shared" si="11"/>
        <v>42674</v>
      </c>
      <c r="F262" s="21">
        <f t="shared" si="12"/>
        <v>42660</v>
      </c>
      <c r="G262">
        <v>252</v>
      </c>
    </row>
    <row r="263" spans="2:7" x14ac:dyDescent="0.35">
      <c r="B263" t="s">
        <v>73</v>
      </c>
      <c r="C263" t="s">
        <v>196</v>
      </c>
      <c r="D263" s="21">
        <f t="shared" si="13"/>
        <v>42674</v>
      </c>
      <c r="E263" s="21">
        <f t="shared" si="11"/>
        <v>42681</v>
      </c>
      <c r="F263" s="21">
        <f t="shared" si="12"/>
        <v>42667</v>
      </c>
      <c r="G263">
        <v>253</v>
      </c>
    </row>
    <row r="264" spans="2:7" x14ac:dyDescent="0.35">
      <c r="B264" t="s">
        <v>73</v>
      </c>
      <c r="C264" t="s">
        <v>196</v>
      </c>
      <c r="D264" s="21">
        <f t="shared" si="13"/>
        <v>42681</v>
      </c>
      <c r="E264" s="21">
        <f t="shared" si="11"/>
        <v>42688</v>
      </c>
      <c r="F264" s="21">
        <f t="shared" si="12"/>
        <v>42674</v>
      </c>
      <c r="G264">
        <v>254</v>
      </c>
    </row>
    <row r="265" spans="2:7" x14ac:dyDescent="0.35">
      <c r="B265" t="s">
        <v>73</v>
      </c>
      <c r="C265" t="s">
        <v>196</v>
      </c>
      <c r="D265" s="21">
        <f t="shared" si="13"/>
        <v>42688</v>
      </c>
      <c r="E265" s="21">
        <f t="shared" si="11"/>
        <v>42695</v>
      </c>
      <c r="F265" s="21">
        <f t="shared" si="12"/>
        <v>42681</v>
      </c>
      <c r="G265">
        <v>255</v>
      </c>
    </row>
    <row r="266" spans="2:7" x14ac:dyDescent="0.35">
      <c r="B266" t="s">
        <v>73</v>
      </c>
      <c r="C266" t="s">
        <v>196</v>
      </c>
      <c r="D266" s="21">
        <f t="shared" si="13"/>
        <v>42695</v>
      </c>
      <c r="E266" s="21">
        <f t="shared" si="11"/>
        <v>42702</v>
      </c>
      <c r="F266" s="21">
        <f t="shared" si="12"/>
        <v>42688</v>
      </c>
      <c r="G266">
        <v>256</v>
      </c>
    </row>
    <row r="267" spans="2:7" x14ac:dyDescent="0.35">
      <c r="B267" t="s">
        <v>73</v>
      </c>
      <c r="C267" t="s">
        <v>196</v>
      </c>
      <c r="D267" s="21">
        <f t="shared" si="13"/>
        <v>42702</v>
      </c>
      <c r="E267" s="21">
        <f t="shared" si="11"/>
        <v>42709</v>
      </c>
      <c r="F267" s="21">
        <f t="shared" si="12"/>
        <v>42695</v>
      </c>
      <c r="G267">
        <v>257</v>
      </c>
    </row>
    <row r="268" spans="2:7" x14ac:dyDescent="0.35">
      <c r="B268" t="s">
        <v>73</v>
      </c>
      <c r="C268" t="s">
        <v>196</v>
      </c>
      <c r="D268" s="21">
        <f t="shared" si="13"/>
        <v>42709</v>
      </c>
      <c r="E268" s="21">
        <f t="shared" ref="E268:E331" si="14">D268+7</f>
        <v>42716</v>
      </c>
      <c r="F268" s="21">
        <f t="shared" ref="F268:F331" si="15">D268-7</f>
        <v>42702</v>
      </c>
      <c r="G268">
        <v>258</v>
      </c>
    </row>
    <row r="269" spans="2:7" x14ac:dyDescent="0.35">
      <c r="B269" t="s">
        <v>73</v>
      </c>
      <c r="C269" t="s">
        <v>196</v>
      </c>
      <c r="D269" s="21">
        <f t="shared" si="13"/>
        <v>42716</v>
      </c>
      <c r="E269" s="21">
        <f t="shared" si="14"/>
        <v>42723</v>
      </c>
      <c r="F269" s="21">
        <f t="shared" si="15"/>
        <v>42709</v>
      </c>
      <c r="G269">
        <v>259</v>
      </c>
    </row>
    <row r="270" spans="2:7" x14ac:dyDescent="0.35">
      <c r="B270" t="s">
        <v>73</v>
      </c>
      <c r="C270" t="s">
        <v>196</v>
      </c>
      <c r="D270" s="21">
        <f t="shared" si="13"/>
        <v>42723</v>
      </c>
      <c r="E270" s="21">
        <f t="shared" si="14"/>
        <v>42730</v>
      </c>
      <c r="F270" s="21">
        <f t="shared" si="15"/>
        <v>42716</v>
      </c>
      <c r="G270">
        <v>260</v>
      </c>
    </row>
    <row r="271" spans="2:7" x14ac:dyDescent="0.35">
      <c r="B271" t="s">
        <v>73</v>
      </c>
      <c r="C271" t="s">
        <v>196</v>
      </c>
      <c r="D271" s="21">
        <f t="shared" si="13"/>
        <v>42730</v>
      </c>
      <c r="E271" s="21">
        <f t="shared" si="14"/>
        <v>42737</v>
      </c>
      <c r="F271" s="21">
        <f t="shared" si="15"/>
        <v>42723</v>
      </c>
      <c r="G271">
        <v>261</v>
      </c>
    </row>
    <row r="272" spans="2:7" x14ac:dyDescent="0.35">
      <c r="B272" t="s">
        <v>73</v>
      </c>
      <c r="C272" t="s">
        <v>196</v>
      </c>
      <c r="D272" s="21">
        <f t="shared" si="13"/>
        <v>42737</v>
      </c>
      <c r="E272" s="21">
        <f t="shared" si="14"/>
        <v>42744</v>
      </c>
      <c r="F272" s="21">
        <f t="shared" si="15"/>
        <v>42730</v>
      </c>
      <c r="G272">
        <v>262</v>
      </c>
    </row>
    <row r="273" spans="2:7" x14ac:dyDescent="0.35">
      <c r="B273" t="s">
        <v>73</v>
      </c>
      <c r="C273" t="s">
        <v>196</v>
      </c>
      <c r="D273" s="21">
        <f t="shared" si="13"/>
        <v>42744</v>
      </c>
      <c r="E273" s="21">
        <f t="shared" si="14"/>
        <v>42751</v>
      </c>
      <c r="F273" s="21">
        <f t="shared" si="15"/>
        <v>42737</v>
      </c>
      <c r="G273">
        <v>263</v>
      </c>
    </row>
    <row r="274" spans="2:7" x14ac:dyDescent="0.35">
      <c r="B274" t="s">
        <v>73</v>
      </c>
      <c r="C274" t="s">
        <v>196</v>
      </c>
      <c r="D274" s="21">
        <f t="shared" si="13"/>
        <v>42751</v>
      </c>
      <c r="E274" s="21">
        <f t="shared" si="14"/>
        <v>42758</v>
      </c>
      <c r="F274" s="21">
        <f t="shared" si="15"/>
        <v>42744</v>
      </c>
      <c r="G274">
        <v>264</v>
      </c>
    </row>
    <row r="275" spans="2:7" x14ac:dyDescent="0.35">
      <c r="B275" t="s">
        <v>73</v>
      </c>
      <c r="C275" t="s">
        <v>196</v>
      </c>
      <c r="D275" s="21">
        <f t="shared" si="13"/>
        <v>42758</v>
      </c>
      <c r="E275" s="21">
        <f t="shared" si="14"/>
        <v>42765</v>
      </c>
      <c r="F275" s="21">
        <f t="shared" si="15"/>
        <v>42751</v>
      </c>
      <c r="G275">
        <v>265</v>
      </c>
    </row>
    <row r="276" spans="2:7" x14ac:dyDescent="0.35">
      <c r="B276" t="s">
        <v>73</v>
      </c>
      <c r="C276" t="s">
        <v>196</v>
      </c>
      <c r="D276" s="21">
        <f t="shared" si="13"/>
        <v>42765</v>
      </c>
      <c r="E276" s="21">
        <f t="shared" si="14"/>
        <v>42772</v>
      </c>
      <c r="F276" s="21">
        <f t="shared" si="15"/>
        <v>42758</v>
      </c>
      <c r="G276">
        <v>266</v>
      </c>
    </row>
    <row r="277" spans="2:7" x14ac:dyDescent="0.35">
      <c r="B277" t="s">
        <v>73</v>
      </c>
      <c r="C277" t="s">
        <v>196</v>
      </c>
      <c r="D277" s="21">
        <f t="shared" si="13"/>
        <v>42772</v>
      </c>
      <c r="E277" s="21">
        <f t="shared" si="14"/>
        <v>42779</v>
      </c>
      <c r="F277" s="21">
        <f t="shared" si="15"/>
        <v>42765</v>
      </c>
      <c r="G277">
        <v>267</v>
      </c>
    </row>
    <row r="278" spans="2:7" x14ac:dyDescent="0.35">
      <c r="B278" t="s">
        <v>73</v>
      </c>
      <c r="C278" t="s">
        <v>196</v>
      </c>
      <c r="D278" s="21">
        <f t="shared" si="13"/>
        <v>42779</v>
      </c>
      <c r="E278" s="21">
        <f t="shared" si="14"/>
        <v>42786</v>
      </c>
      <c r="F278" s="21">
        <f t="shared" si="15"/>
        <v>42772</v>
      </c>
      <c r="G278">
        <v>268</v>
      </c>
    </row>
    <row r="279" spans="2:7" x14ac:dyDescent="0.35">
      <c r="B279" t="s">
        <v>73</v>
      </c>
      <c r="C279" t="s">
        <v>196</v>
      </c>
      <c r="D279" s="21">
        <f t="shared" si="13"/>
        <v>42786</v>
      </c>
      <c r="E279" s="21">
        <f t="shared" si="14"/>
        <v>42793</v>
      </c>
      <c r="F279" s="21">
        <f t="shared" si="15"/>
        <v>42779</v>
      </c>
      <c r="G279">
        <v>269</v>
      </c>
    </row>
    <row r="280" spans="2:7" x14ac:dyDescent="0.35">
      <c r="B280" t="s">
        <v>73</v>
      </c>
      <c r="C280" t="s">
        <v>196</v>
      </c>
      <c r="D280" s="21">
        <f t="shared" si="13"/>
        <v>42793</v>
      </c>
      <c r="E280" s="21">
        <f t="shared" si="14"/>
        <v>42800</v>
      </c>
      <c r="F280" s="21">
        <f t="shared" si="15"/>
        <v>42786</v>
      </c>
      <c r="G280">
        <v>270</v>
      </c>
    </row>
    <row r="281" spans="2:7" x14ac:dyDescent="0.35">
      <c r="B281" t="s">
        <v>73</v>
      </c>
      <c r="C281" t="s">
        <v>196</v>
      </c>
      <c r="D281" s="21">
        <f t="shared" si="13"/>
        <v>42800</v>
      </c>
      <c r="E281" s="21">
        <f t="shared" si="14"/>
        <v>42807</v>
      </c>
      <c r="F281" s="21">
        <f t="shared" si="15"/>
        <v>42793</v>
      </c>
      <c r="G281">
        <v>271</v>
      </c>
    </row>
    <row r="282" spans="2:7" x14ac:dyDescent="0.35">
      <c r="B282" t="s">
        <v>73</v>
      </c>
      <c r="C282" t="s">
        <v>196</v>
      </c>
      <c r="D282" s="21">
        <f t="shared" si="13"/>
        <v>42807</v>
      </c>
      <c r="E282" s="21">
        <f t="shared" si="14"/>
        <v>42814</v>
      </c>
      <c r="F282" s="21">
        <f t="shared" si="15"/>
        <v>42800</v>
      </c>
      <c r="G282">
        <v>272</v>
      </c>
    </row>
    <row r="283" spans="2:7" x14ac:dyDescent="0.35">
      <c r="B283" t="s">
        <v>73</v>
      </c>
      <c r="C283" t="s">
        <v>196</v>
      </c>
      <c r="D283" s="21">
        <f t="shared" si="13"/>
        <v>42814</v>
      </c>
      <c r="E283" s="21">
        <f t="shared" si="14"/>
        <v>42821</v>
      </c>
      <c r="F283" s="21">
        <f t="shared" si="15"/>
        <v>42807</v>
      </c>
      <c r="G283">
        <v>273</v>
      </c>
    </row>
    <row r="284" spans="2:7" x14ac:dyDescent="0.35">
      <c r="B284" t="s">
        <v>73</v>
      </c>
      <c r="C284" t="s">
        <v>196</v>
      </c>
      <c r="D284" s="21">
        <f t="shared" si="13"/>
        <v>42821</v>
      </c>
      <c r="E284" s="21">
        <f t="shared" si="14"/>
        <v>42828</v>
      </c>
      <c r="F284" s="21">
        <f t="shared" si="15"/>
        <v>42814</v>
      </c>
      <c r="G284">
        <v>274</v>
      </c>
    </row>
    <row r="285" spans="2:7" x14ac:dyDescent="0.35">
      <c r="B285" t="s">
        <v>73</v>
      </c>
      <c r="C285" t="s">
        <v>196</v>
      </c>
      <c r="D285" s="21">
        <f t="shared" si="13"/>
        <v>42828</v>
      </c>
      <c r="E285" s="21">
        <f t="shared" si="14"/>
        <v>42835</v>
      </c>
      <c r="F285" s="21">
        <f t="shared" si="15"/>
        <v>42821</v>
      </c>
      <c r="G285">
        <v>275</v>
      </c>
    </row>
    <row r="286" spans="2:7" x14ac:dyDescent="0.35">
      <c r="B286" t="s">
        <v>73</v>
      </c>
      <c r="C286" t="s">
        <v>196</v>
      </c>
      <c r="D286" s="21">
        <f t="shared" si="13"/>
        <v>42835</v>
      </c>
      <c r="E286" s="21">
        <f t="shared" si="14"/>
        <v>42842</v>
      </c>
      <c r="F286" s="21">
        <f t="shared" si="15"/>
        <v>42828</v>
      </c>
      <c r="G286">
        <v>276</v>
      </c>
    </row>
    <row r="287" spans="2:7" x14ac:dyDescent="0.35">
      <c r="B287" t="s">
        <v>73</v>
      </c>
      <c r="C287" t="s">
        <v>196</v>
      </c>
      <c r="D287" s="21">
        <f t="shared" si="13"/>
        <v>42842</v>
      </c>
      <c r="E287" s="21">
        <f t="shared" si="14"/>
        <v>42849</v>
      </c>
      <c r="F287" s="21">
        <f t="shared" si="15"/>
        <v>42835</v>
      </c>
      <c r="G287">
        <v>277</v>
      </c>
    </row>
    <row r="288" spans="2:7" x14ac:dyDescent="0.35">
      <c r="B288" t="s">
        <v>73</v>
      </c>
      <c r="C288" t="s">
        <v>196</v>
      </c>
      <c r="D288" s="21">
        <f t="shared" si="13"/>
        <v>42849</v>
      </c>
      <c r="E288" s="21">
        <f t="shared" si="14"/>
        <v>42856</v>
      </c>
      <c r="F288" s="21">
        <f t="shared" si="15"/>
        <v>42842</v>
      </c>
      <c r="G288">
        <v>278</v>
      </c>
    </row>
    <row r="289" spans="2:7" x14ac:dyDescent="0.35">
      <c r="B289" t="s">
        <v>73</v>
      </c>
      <c r="C289" t="s">
        <v>196</v>
      </c>
      <c r="D289" s="21">
        <f t="shared" si="13"/>
        <v>42856</v>
      </c>
      <c r="E289" s="21">
        <f t="shared" si="14"/>
        <v>42863</v>
      </c>
      <c r="F289" s="21">
        <f t="shared" si="15"/>
        <v>42849</v>
      </c>
      <c r="G289">
        <v>279</v>
      </c>
    </row>
    <row r="290" spans="2:7" x14ac:dyDescent="0.35">
      <c r="B290" t="s">
        <v>73</v>
      </c>
      <c r="C290" t="s">
        <v>196</v>
      </c>
      <c r="D290" s="21">
        <f t="shared" si="13"/>
        <v>42863</v>
      </c>
      <c r="E290" s="21">
        <f t="shared" si="14"/>
        <v>42870</v>
      </c>
      <c r="F290" s="21">
        <f t="shared" si="15"/>
        <v>42856</v>
      </c>
      <c r="G290">
        <v>280</v>
      </c>
    </row>
    <row r="291" spans="2:7" x14ac:dyDescent="0.35">
      <c r="B291" t="s">
        <v>73</v>
      </c>
      <c r="C291" t="s">
        <v>196</v>
      </c>
      <c r="D291" s="21">
        <f t="shared" si="13"/>
        <v>42870</v>
      </c>
      <c r="E291" s="21">
        <f t="shared" si="14"/>
        <v>42877</v>
      </c>
      <c r="F291" s="21">
        <f t="shared" si="15"/>
        <v>42863</v>
      </c>
      <c r="G291">
        <v>281</v>
      </c>
    </row>
    <row r="292" spans="2:7" x14ac:dyDescent="0.35">
      <c r="B292" t="s">
        <v>73</v>
      </c>
      <c r="C292" t="s">
        <v>196</v>
      </c>
      <c r="D292" s="21">
        <f t="shared" si="13"/>
        <v>42877</v>
      </c>
      <c r="E292" s="21">
        <f t="shared" si="14"/>
        <v>42884</v>
      </c>
      <c r="F292" s="21">
        <f t="shared" si="15"/>
        <v>42870</v>
      </c>
      <c r="G292">
        <v>282</v>
      </c>
    </row>
    <row r="293" spans="2:7" x14ac:dyDescent="0.35">
      <c r="B293" t="s">
        <v>73</v>
      </c>
      <c r="C293" t="s">
        <v>196</v>
      </c>
      <c r="D293" s="21">
        <f t="shared" si="13"/>
        <v>42884</v>
      </c>
      <c r="E293" s="21">
        <f t="shared" si="14"/>
        <v>42891</v>
      </c>
      <c r="F293" s="21">
        <f t="shared" si="15"/>
        <v>42877</v>
      </c>
      <c r="G293">
        <v>283</v>
      </c>
    </row>
    <row r="294" spans="2:7" x14ac:dyDescent="0.35">
      <c r="B294" t="s">
        <v>73</v>
      </c>
      <c r="C294" t="s">
        <v>196</v>
      </c>
      <c r="D294" s="21">
        <f t="shared" si="13"/>
        <v>42891</v>
      </c>
      <c r="E294" s="21">
        <f t="shared" si="14"/>
        <v>42898</v>
      </c>
      <c r="F294" s="21">
        <f t="shared" si="15"/>
        <v>42884</v>
      </c>
      <c r="G294">
        <v>284</v>
      </c>
    </row>
    <row r="295" spans="2:7" x14ac:dyDescent="0.35">
      <c r="B295" t="s">
        <v>73</v>
      </c>
      <c r="C295" t="s">
        <v>196</v>
      </c>
      <c r="D295" s="21">
        <f t="shared" si="13"/>
        <v>42898</v>
      </c>
      <c r="E295" s="21">
        <f t="shared" si="14"/>
        <v>42905</v>
      </c>
      <c r="F295" s="21">
        <f t="shared" si="15"/>
        <v>42891</v>
      </c>
      <c r="G295">
        <v>285</v>
      </c>
    </row>
    <row r="296" spans="2:7" x14ac:dyDescent="0.35">
      <c r="B296" t="s">
        <v>73</v>
      </c>
      <c r="C296" t="s">
        <v>196</v>
      </c>
      <c r="D296" s="21">
        <f t="shared" si="13"/>
        <v>42905</v>
      </c>
      <c r="E296" s="21">
        <f t="shared" si="14"/>
        <v>42912</v>
      </c>
      <c r="F296" s="21">
        <f t="shared" si="15"/>
        <v>42898</v>
      </c>
      <c r="G296">
        <v>286</v>
      </c>
    </row>
    <row r="297" spans="2:7" x14ac:dyDescent="0.35">
      <c r="B297" t="s">
        <v>73</v>
      </c>
      <c r="C297" t="s">
        <v>196</v>
      </c>
      <c r="D297" s="21">
        <f t="shared" si="13"/>
        <v>42912</v>
      </c>
      <c r="E297" s="21">
        <f t="shared" si="14"/>
        <v>42919</v>
      </c>
      <c r="F297" s="21">
        <f t="shared" si="15"/>
        <v>42905</v>
      </c>
      <c r="G297">
        <v>287</v>
      </c>
    </row>
    <row r="298" spans="2:7" x14ac:dyDescent="0.35">
      <c r="B298" t="s">
        <v>73</v>
      </c>
      <c r="C298" t="s">
        <v>196</v>
      </c>
      <c r="D298" s="21">
        <f t="shared" si="13"/>
        <v>42919</v>
      </c>
      <c r="E298" s="21">
        <f t="shared" si="14"/>
        <v>42926</v>
      </c>
      <c r="F298" s="21">
        <f t="shared" si="15"/>
        <v>42912</v>
      </c>
      <c r="G298">
        <v>288</v>
      </c>
    </row>
    <row r="299" spans="2:7" x14ac:dyDescent="0.35">
      <c r="B299" t="s">
        <v>73</v>
      </c>
      <c r="C299" t="s">
        <v>196</v>
      </c>
      <c r="D299" s="21">
        <f t="shared" si="13"/>
        <v>42926</v>
      </c>
      <c r="E299" s="21">
        <f t="shared" si="14"/>
        <v>42933</v>
      </c>
      <c r="F299" s="21">
        <f t="shared" si="15"/>
        <v>42919</v>
      </c>
      <c r="G299">
        <v>289</v>
      </c>
    </row>
    <row r="300" spans="2:7" x14ac:dyDescent="0.35">
      <c r="B300" t="s">
        <v>73</v>
      </c>
      <c r="C300" t="s">
        <v>196</v>
      </c>
      <c r="D300" s="21">
        <f t="shared" si="13"/>
        <v>42933</v>
      </c>
      <c r="E300" s="21">
        <f t="shared" si="14"/>
        <v>42940</v>
      </c>
      <c r="F300" s="21">
        <f t="shared" si="15"/>
        <v>42926</v>
      </c>
      <c r="G300">
        <v>290</v>
      </c>
    </row>
    <row r="301" spans="2:7" x14ac:dyDescent="0.35">
      <c r="B301" t="s">
        <v>73</v>
      </c>
      <c r="C301" t="s">
        <v>196</v>
      </c>
      <c r="D301" s="21">
        <f t="shared" si="13"/>
        <v>42940</v>
      </c>
      <c r="E301" s="21">
        <f t="shared" si="14"/>
        <v>42947</v>
      </c>
      <c r="F301" s="21">
        <f t="shared" si="15"/>
        <v>42933</v>
      </c>
      <c r="G301">
        <v>291</v>
      </c>
    </row>
    <row r="302" spans="2:7" x14ac:dyDescent="0.35">
      <c r="B302" t="s">
        <v>73</v>
      </c>
      <c r="C302" t="s">
        <v>196</v>
      </c>
      <c r="D302" s="21">
        <f t="shared" si="13"/>
        <v>42947</v>
      </c>
      <c r="E302" s="21">
        <f t="shared" si="14"/>
        <v>42954</v>
      </c>
      <c r="F302" s="21">
        <f t="shared" si="15"/>
        <v>42940</v>
      </c>
      <c r="G302">
        <v>292</v>
      </c>
    </row>
    <row r="303" spans="2:7" x14ac:dyDescent="0.35">
      <c r="B303" t="s">
        <v>73</v>
      </c>
      <c r="C303" t="s">
        <v>196</v>
      </c>
      <c r="D303" s="21">
        <f t="shared" si="13"/>
        <v>42954</v>
      </c>
      <c r="E303" s="21">
        <f t="shared" si="14"/>
        <v>42961</v>
      </c>
      <c r="F303" s="21">
        <f t="shared" si="15"/>
        <v>42947</v>
      </c>
      <c r="G303">
        <v>293</v>
      </c>
    </row>
    <row r="304" spans="2:7" x14ac:dyDescent="0.35">
      <c r="B304" t="s">
        <v>73</v>
      </c>
      <c r="C304" t="s">
        <v>196</v>
      </c>
      <c r="D304" s="21">
        <f t="shared" si="13"/>
        <v>42961</v>
      </c>
      <c r="E304" s="21">
        <f t="shared" si="14"/>
        <v>42968</v>
      </c>
      <c r="F304" s="21">
        <f t="shared" si="15"/>
        <v>42954</v>
      </c>
      <c r="G304">
        <v>294</v>
      </c>
    </row>
    <row r="305" spans="2:7" x14ac:dyDescent="0.35">
      <c r="B305" t="s">
        <v>73</v>
      </c>
      <c r="C305" t="s">
        <v>196</v>
      </c>
      <c r="D305" s="21">
        <f t="shared" si="13"/>
        <v>42968</v>
      </c>
      <c r="E305" s="21">
        <f t="shared" si="14"/>
        <v>42975</v>
      </c>
      <c r="F305" s="21">
        <f t="shared" si="15"/>
        <v>42961</v>
      </c>
      <c r="G305">
        <v>295</v>
      </c>
    </row>
    <row r="306" spans="2:7" x14ac:dyDescent="0.35">
      <c r="B306" t="s">
        <v>73</v>
      </c>
      <c r="C306" t="s">
        <v>196</v>
      </c>
      <c r="D306" s="21">
        <f t="shared" si="13"/>
        <v>42975</v>
      </c>
      <c r="E306" s="21">
        <f t="shared" si="14"/>
        <v>42982</v>
      </c>
      <c r="F306" s="21">
        <f t="shared" si="15"/>
        <v>42968</v>
      </c>
      <c r="G306">
        <v>296</v>
      </c>
    </row>
    <row r="307" spans="2:7" x14ac:dyDescent="0.35">
      <c r="B307" t="s">
        <v>73</v>
      </c>
      <c r="C307" t="s">
        <v>196</v>
      </c>
      <c r="D307" s="21">
        <f t="shared" si="13"/>
        <v>42982</v>
      </c>
      <c r="E307" s="21">
        <f t="shared" si="14"/>
        <v>42989</v>
      </c>
      <c r="F307" s="21">
        <f t="shared" si="15"/>
        <v>42975</v>
      </c>
      <c r="G307">
        <v>297</v>
      </c>
    </row>
    <row r="308" spans="2:7" x14ac:dyDescent="0.35">
      <c r="B308" t="s">
        <v>73</v>
      </c>
      <c r="C308" t="s">
        <v>196</v>
      </c>
      <c r="D308" s="21">
        <f t="shared" si="13"/>
        <v>42989</v>
      </c>
      <c r="E308" s="21">
        <f t="shared" si="14"/>
        <v>42996</v>
      </c>
      <c r="F308" s="21">
        <f t="shared" si="15"/>
        <v>42982</v>
      </c>
      <c r="G308">
        <v>298</v>
      </c>
    </row>
    <row r="309" spans="2:7" x14ac:dyDescent="0.35">
      <c r="B309" t="s">
        <v>73</v>
      </c>
      <c r="C309" t="s">
        <v>196</v>
      </c>
      <c r="D309" s="21">
        <f t="shared" si="13"/>
        <v>42996</v>
      </c>
      <c r="E309" s="21">
        <f t="shared" si="14"/>
        <v>43003</v>
      </c>
      <c r="F309" s="21">
        <f t="shared" si="15"/>
        <v>42989</v>
      </c>
      <c r="G309">
        <v>299</v>
      </c>
    </row>
    <row r="310" spans="2:7" x14ac:dyDescent="0.35">
      <c r="B310" t="s">
        <v>73</v>
      </c>
      <c r="C310" t="s">
        <v>196</v>
      </c>
      <c r="D310" s="21">
        <f t="shared" si="13"/>
        <v>43003</v>
      </c>
      <c r="E310" s="21">
        <f t="shared" si="14"/>
        <v>43010</v>
      </c>
      <c r="F310" s="21">
        <f t="shared" si="15"/>
        <v>42996</v>
      </c>
      <c r="G310">
        <v>300</v>
      </c>
    </row>
    <row r="311" spans="2:7" x14ac:dyDescent="0.35">
      <c r="B311" t="s">
        <v>73</v>
      </c>
      <c r="C311" t="s">
        <v>196</v>
      </c>
      <c r="D311" s="21">
        <f t="shared" si="13"/>
        <v>43010</v>
      </c>
      <c r="E311" s="21">
        <f t="shared" si="14"/>
        <v>43017</v>
      </c>
      <c r="F311" s="21">
        <f t="shared" si="15"/>
        <v>43003</v>
      </c>
      <c r="G311">
        <v>301</v>
      </c>
    </row>
    <row r="312" spans="2:7" x14ac:dyDescent="0.35">
      <c r="B312" t="s">
        <v>73</v>
      </c>
      <c r="C312" t="s">
        <v>196</v>
      </c>
      <c r="D312" s="21">
        <f t="shared" si="13"/>
        <v>43017</v>
      </c>
      <c r="E312" s="21">
        <f t="shared" si="14"/>
        <v>43024</v>
      </c>
      <c r="F312" s="21">
        <f t="shared" si="15"/>
        <v>43010</v>
      </c>
      <c r="G312">
        <v>302</v>
      </c>
    </row>
    <row r="313" spans="2:7" x14ac:dyDescent="0.35">
      <c r="B313" t="s">
        <v>73</v>
      </c>
      <c r="C313" t="s">
        <v>196</v>
      </c>
      <c r="D313" s="21">
        <f t="shared" si="13"/>
        <v>43024</v>
      </c>
      <c r="E313" s="21">
        <f t="shared" si="14"/>
        <v>43031</v>
      </c>
      <c r="F313" s="21">
        <f t="shared" si="15"/>
        <v>43017</v>
      </c>
      <c r="G313">
        <v>303</v>
      </c>
    </row>
    <row r="314" spans="2:7" x14ac:dyDescent="0.35">
      <c r="B314" t="s">
        <v>73</v>
      </c>
      <c r="C314" t="s">
        <v>196</v>
      </c>
      <c r="D314" s="21">
        <f t="shared" si="13"/>
        <v>43031</v>
      </c>
      <c r="E314" s="21">
        <f t="shared" si="14"/>
        <v>43038</v>
      </c>
      <c r="F314" s="21">
        <f t="shared" si="15"/>
        <v>43024</v>
      </c>
      <c r="G314">
        <v>304</v>
      </c>
    </row>
    <row r="315" spans="2:7" x14ac:dyDescent="0.35">
      <c r="B315" t="s">
        <v>73</v>
      </c>
      <c r="C315" t="s">
        <v>196</v>
      </c>
      <c r="D315" s="21">
        <f t="shared" si="13"/>
        <v>43038</v>
      </c>
      <c r="E315" s="21">
        <f t="shared" si="14"/>
        <v>43045</v>
      </c>
      <c r="F315" s="21">
        <f t="shared" si="15"/>
        <v>43031</v>
      </c>
      <c r="G315">
        <v>305</v>
      </c>
    </row>
    <row r="316" spans="2:7" x14ac:dyDescent="0.35">
      <c r="B316" t="s">
        <v>73</v>
      </c>
      <c r="C316" t="s">
        <v>196</v>
      </c>
      <c r="D316" s="21">
        <f t="shared" si="13"/>
        <v>43045</v>
      </c>
      <c r="E316" s="21">
        <f t="shared" si="14"/>
        <v>43052</v>
      </c>
      <c r="F316" s="21">
        <f t="shared" si="15"/>
        <v>43038</v>
      </c>
      <c r="G316">
        <v>306</v>
      </c>
    </row>
    <row r="317" spans="2:7" x14ac:dyDescent="0.35">
      <c r="B317" t="s">
        <v>73</v>
      </c>
      <c r="C317" t="s">
        <v>196</v>
      </c>
      <c r="D317" s="21">
        <f t="shared" si="13"/>
        <v>43052</v>
      </c>
      <c r="E317" s="21">
        <f t="shared" si="14"/>
        <v>43059</v>
      </c>
      <c r="F317" s="21">
        <f t="shared" si="15"/>
        <v>43045</v>
      </c>
      <c r="G317">
        <v>307</v>
      </c>
    </row>
    <row r="318" spans="2:7" x14ac:dyDescent="0.35">
      <c r="B318" t="s">
        <v>73</v>
      </c>
      <c r="C318" t="s">
        <v>196</v>
      </c>
      <c r="D318" s="21">
        <f t="shared" si="13"/>
        <v>43059</v>
      </c>
      <c r="E318" s="21">
        <f t="shared" si="14"/>
        <v>43066</v>
      </c>
      <c r="F318" s="21">
        <f t="shared" si="15"/>
        <v>43052</v>
      </c>
      <c r="G318">
        <v>308</v>
      </c>
    </row>
    <row r="319" spans="2:7" x14ac:dyDescent="0.35">
      <c r="B319" t="s">
        <v>73</v>
      </c>
      <c r="C319" t="s">
        <v>196</v>
      </c>
      <c r="D319" s="21">
        <f t="shared" si="13"/>
        <v>43066</v>
      </c>
      <c r="E319" s="21">
        <f t="shared" si="14"/>
        <v>43073</v>
      </c>
      <c r="F319" s="21">
        <f t="shared" si="15"/>
        <v>43059</v>
      </c>
      <c r="G319">
        <v>309</v>
      </c>
    </row>
    <row r="320" spans="2:7" x14ac:dyDescent="0.35">
      <c r="B320" t="s">
        <v>73</v>
      </c>
      <c r="C320" t="s">
        <v>196</v>
      </c>
      <c r="D320" s="21">
        <f t="shared" si="13"/>
        <v>43073</v>
      </c>
      <c r="E320" s="21">
        <f t="shared" si="14"/>
        <v>43080</v>
      </c>
      <c r="F320" s="21">
        <f t="shared" si="15"/>
        <v>43066</v>
      </c>
      <c r="G320">
        <v>310</v>
      </c>
    </row>
    <row r="321" spans="2:7" x14ac:dyDescent="0.35">
      <c r="B321" t="s">
        <v>73</v>
      </c>
      <c r="C321" t="s">
        <v>196</v>
      </c>
      <c r="D321" s="21">
        <f t="shared" si="13"/>
        <v>43080</v>
      </c>
      <c r="E321" s="21">
        <f t="shared" si="14"/>
        <v>43087</v>
      </c>
      <c r="F321" s="21">
        <f t="shared" si="15"/>
        <v>43073</v>
      </c>
      <c r="G321">
        <v>311</v>
      </c>
    </row>
    <row r="322" spans="2:7" x14ac:dyDescent="0.35">
      <c r="B322" t="s">
        <v>73</v>
      </c>
      <c r="C322" t="s">
        <v>196</v>
      </c>
      <c r="D322" s="21">
        <f t="shared" si="13"/>
        <v>43087</v>
      </c>
      <c r="E322" s="21">
        <f t="shared" si="14"/>
        <v>43094</v>
      </c>
      <c r="F322" s="21">
        <f t="shared" si="15"/>
        <v>43080</v>
      </c>
      <c r="G322">
        <v>312</v>
      </c>
    </row>
    <row r="323" spans="2:7" x14ac:dyDescent="0.35">
      <c r="B323" t="s">
        <v>73</v>
      </c>
      <c r="C323" t="s">
        <v>196</v>
      </c>
      <c r="D323" s="21">
        <f t="shared" si="13"/>
        <v>43094</v>
      </c>
      <c r="E323" s="21">
        <f t="shared" si="14"/>
        <v>43101</v>
      </c>
      <c r="F323" s="21">
        <f t="shared" si="15"/>
        <v>43087</v>
      </c>
      <c r="G323">
        <v>313</v>
      </c>
    </row>
    <row r="324" spans="2:7" x14ac:dyDescent="0.35">
      <c r="B324" t="s">
        <v>73</v>
      </c>
      <c r="C324" t="s">
        <v>196</v>
      </c>
      <c r="D324" s="21">
        <f t="shared" ref="D324:D336" si="16">D323+7</f>
        <v>43101</v>
      </c>
      <c r="E324" s="21">
        <f t="shared" si="14"/>
        <v>43108</v>
      </c>
      <c r="F324" s="21">
        <f t="shared" si="15"/>
        <v>43094</v>
      </c>
      <c r="G324">
        <v>314</v>
      </c>
    </row>
    <row r="325" spans="2:7" x14ac:dyDescent="0.35">
      <c r="B325" t="s">
        <v>73</v>
      </c>
      <c r="C325" t="s">
        <v>196</v>
      </c>
      <c r="D325" s="21">
        <f t="shared" si="16"/>
        <v>43108</v>
      </c>
      <c r="E325" s="21">
        <f t="shared" si="14"/>
        <v>43115</v>
      </c>
      <c r="F325" s="21">
        <f t="shared" si="15"/>
        <v>43101</v>
      </c>
      <c r="G325">
        <v>315</v>
      </c>
    </row>
    <row r="326" spans="2:7" x14ac:dyDescent="0.35">
      <c r="B326" t="s">
        <v>73</v>
      </c>
      <c r="C326" t="s">
        <v>196</v>
      </c>
      <c r="D326" s="21">
        <f t="shared" si="16"/>
        <v>43115</v>
      </c>
      <c r="E326" s="21">
        <f t="shared" si="14"/>
        <v>43122</v>
      </c>
      <c r="F326" s="21">
        <f t="shared" si="15"/>
        <v>43108</v>
      </c>
      <c r="G326">
        <v>316</v>
      </c>
    </row>
    <row r="327" spans="2:7" x14ac:dyDescent="0.35">
      <c r="B327" t="s">
        <v>73</v>
      </c>
      <c r="C327" t="s">
        <v>196</v>
      </c>
      <c r="D327" s="21">
        <f t="shared" si="16"/>
        <v>43122</v>
      </c>
      <c r="E327" s="21">
        <f t="shared" si="14"/>
        <v>43129</v>
      </c>
      <c r="F327" s="21">
        <f t="shared" si="15"/>
        <v>43115</v>
      </c>
      <c r="G327">
        <v>317</v>
      </c>
    </row>
    <row r="328" spans="2:7" x14ac:dyDescent="0.35">
      <c r="B328" t="s">
        <v>73</v>
      </c>
      <c r="C328" t="s">
        <v>196</v>
      </c>
      <c r="D328" s="21">
        <f t="shared" si="16"/>
        <v>43129</v>
      </c>
      <c r="E328" s="21">
        <f t="shared" si="14"/>
        <v>43136</v>
      </c>
      <c r="F328" s="21">
        <f t="shared" si="15"/>
        <v>43122</v>
      </c>
      <c r="G328">
        <v>318</v>
      </c>
    </row>
    <row r="329" spans="2:7" x14ac:dyDescent="0.35">
      <c r="B329" t="s">
        <v>73</v>
      </c>
      <c r="C329" t="s">
        <v>196</v>
      </c>
      <c r="D329" s="21">
        <f t="shared" si="16"/>
        <v>43136</v>
      </c>
      <c r="E329" s="21">
        <f t="shared" si="14"/>
        <v>43143</v>
      </c>
      <c r="F329" s="21">
        <f t="shared" si="15"/>
        <v>43129</v>
      </c>
      <c r="G329">
        <v>319</v>
      </c>
    </row>
    <row r="330" spans="2:7" x14ac:dyDescent="0.35">
      <c r="B330" t="s">
        <v>73</v>
      </c>
      <c r="C330" t="s">
        <v>196</v>
      </c>
      <c r="D330" s="21">
        <f t="shared" si="16"/>
        <v>43143</v>
      </c>
      <c r="E330" s="21">
        <f t="shared" si="14"/>
        <v>43150</v>
      </c>
      <c r="F330" s="21">
        <f t="shared" si="15"/>
        <v>43136</v>
      </c>
      <c r="G330">
        <v>320</v>
      </c>
    </row>
    <row r="331" spans="2:7" x14ac:dyDescent="0.35">
      <c r="B331" t="s">
        <v>73</v>
      </c>
      <c r="C331" t="s">
        <v>196</v>
      </c>
      <c r="D331" s="21">
        <f t="shared" si="16"/>
        <v>43150</v>
      </c>
      <c r="E331" s="21">
        <f t="shared" si="14"/>
        <v>43157</v>
      </c>
      <c r="F331" s="21">
        <f t="shared" si="15"/>
        <v>43143</v>
      </c>
      <c r="G331">
        <v>321</v>
      </c>
    </row>
    <row r="332" spans="2:7" x14ac:dyDescent="0.35">
      <c r="B332" t="s">
        <v>73</v>
      </c>
      <c r="C332" t="s">
        <v>196</v>
      </c>
      <c r="D332" s="21">
        <f t="shared" si="16"/>
        <v>43157</v>
      </c>
      <c r="E332" s="21">
        <f t="shared" ref="E332:E395" si="17">D332+7</f>
        <v>43164</v>
      </c>
      <c r="F332" s="21">
        <f t="shared" ref="F332:F395" si="18">D332-7</f>
        <v>43150</v>
      </c>
      <c r="G332">
        <v>322</v>
      </c>
    </row>
    <row r="333" spans="2:7" x14ac:dyDescent="0.35">
      <c r="B333" t="s">
        <v>73</v>
      </c>
      <c r="C333" t="s">
        <v>196</v>
      </c>
      <c r="D333" s="21">
        <f t="shared" si="16"/>
        <v>43164</v>
      </c>
      <c r="E333" s="21">
        <f t="shared" si="17"/>
        <v>43171</v>
      </c>
      <c r="F333" s="21">
        <f t="shared" si="18"/>
        <v>43157</v>
      </c>
      <c r="G333">
        <v>323</v>
      </c>
    </row>
    <row r="334" spans="2:7" x14ac:dyDescent="0.35">
      <c r="B334" t="s">
        <v>73</v>
      </c>
      <c r="C334" t="s">
        <v>196</v>
      </c>
      <c r="D334" s="21">
        <f t="shared" si="16"/>
        <v>43171</v>
      </c>
      <c r="E334" s="21">
        <f t="shared" si="17"/>
        <v>43178</v>
      </c>
      <c r="F334" s="21">
        <f t="shared" si="18"/>
        <v>43164</v>
      </c>
      <c r="G334">
        <v>324</v>
      </c>
    </row>
    <row r="335" spans="2:7" x14ac:dyDescent="0.35">
      <c r="B335" t="s">
        <v>73</v>
      </c>
      <c r="C335" t="s">
        <v>196</v>
      </c>
      <c r="D335" s="21">
        <f t="shared" si="16"/>
        <v>43178</v>
      </c>
      <c r="E335" s="21">
        <f t="shared" si="17"/>
        <v>43185</v>
      </c>
      <c r="F335" s="21">
        <f t="shared" si="18"/>
        <v>43171</v>
      </c>
      <c r="G335">
        <v>325</v>
      </c>
    </row>
    <row r="336" spans="2:7" x14ac:dyDescent="0.35">
      <c r="B336" t="s">
        <v>73</v>
      </c>
      <c r="C336" t="s">
        <v>196</v>
      </c>
      <c r="D336" s="21">
        <f t="shared" si="16"/>
        <v>43185</v>
      </c>
      <c r="E336" s="21">
        <f t="shared" si="17"/>
        <v>43192</v>
      </c>
      <c r="F336" s="21">
        <f t="shared" si="18"/>
        <v>43178</v>
      </c>
      <c r="G336">
        <v>326</v>
      </c>
    </row>
    <row r="337" spans="2:7" x14ac:dyDescent="0.35">
      <c r="B337" t="s">
        <v>73</v>
      </c>
      <c r="C337" t="s">
        <v>196</v>
      </c>
      <c r="D337" s="21">
        <f>D336+7</f>
        <v>43192</v>
      </c>
      <c r="E337" s="21">
        <f t="shared" si="17"/>
        <v>43199</v>
      </c>
      <c r="F337" s="21">
        <f t="shared" si="18"/>
        <v>43185</v>
      </c>
      <c r="G337">
        <v>327</v>
      </c>
    </row>
    <row r="338" spans="2:7" x14ac:dyDescent="0.35">
      <c r="B338" t="s">
        <v>73</v>
      </c>
      <c r="C338" t="s">
        <v>196</v>
      </c>
      <c r="D338" s="21">
        <f t="shared" ref="D338:D371" si="19">D337+7</f>
        <v>43199</v>
      </c>
      <c r="E338" s="21">
        <f t="shared" si="17"/>
        <v>43206</v>
      </c>
      <c r="F338" s="21">
        <f t="shared" si="18"/>
        <v>43192</v>
      </c>
      <c r="G338">
        <v>328</v>
      </c>
    </row>
    <row r="339" spans="2:7" x14ac:dyDescent="0.35">
      <c r="B339" t="s">
        <v>73</v>
      </c>
      <c r="C339" t="s">
        <v>196</v>
      </c>
      <c r="D339" s="21">
        <f t="shared" si="19"/>
        <v>43206</v>
      </c>
      <c r="E339" s="21">
        <f t="shared" si="17"/>
        <v>43213</v>
      </c>
      <c r="F339" s="21">
        <f t="shared" si="18"/>
        <v>43199</v>
      </c>
      <c r="G339">
        <v>329</v>
      </c>
    </row>
    <row r="340" spans="2:7" x14ac:dyDescent="0.35">
      <c r="B340" t="s">
        <v>73</v>
      </c>
      <c r="C340" t="s">
        <v>196</v>
      </c>
      <c r="D340" s="21">
        <f t="shared" si="19"/>
        <v>43213</v>
      </c>
      <c r="E340" s="21">
        <f t="shared" si="17"/>
        <v>43220</v>
      </c>
      <c r="F340" s="21">
        <f t="shared" si="18"/>
        <v>43206</v>
      </c>
      <c r="G340">
        <v>330</v>
      </c>
    </row>
    <row r="341" spans="2:7" x14ac:dyDescent="0.35">
      <c r="B341" t="s">
        <v>73</v>
      </c>
      <c r="C341" t="s">
        <v>196</v>
      </c>
      <c r="D341" s="21">
        <f t="shared" si="19"/>
        <v>43220</v>
      </c>
      <c r="E341" s="21">
        <f t="shared" si="17"/>
        <v>43227</v>
      </c>
      <c r="F341" s="21">
        <f t="shared" si="18"/>
        <v>43213</v>
      </c>
      <c r="G341">
        <v>331</v>
      </c>
    </row>
    <row r="342" spans="2:7" x14ac:dyDescent="0.35">
      <c r="B342" t="s">
        <v>73</v>
      </c>
      <c r="C342" t="s">
        <v>196</v>
      </c>
      <c r="D342" s="21">
        <f t="shared" si="19"/>
        <v>43227</v>
      </c>
      <c r="E342" s="21">
        <f t="shared" si="17"/>
        <v>43234</v>
      </c>
      <c r="F342" s="21">
        <f t="shared" si="18"/>
        <v>43220</v>
      </c>
      <c r="G342">
        <v>332</v>
      </c>
    </row>
    <row r="343" spans="2:7" x14ac:dyDescent="0.35">
      <c r="B343" t="s">
        <v>73</v>
      </c>
      <c r="C343" t="s">
        <v>196</v>
      </c>
      <c r="D343" s="21">
        <f t="shared" si="19"/>
        <v>43234</v>
      </c>
      <c r="E343" s="21">
        <f t="shared" si="17"/>
        <v>43241</v>
      </c>
      <c r="F343" s="21">
        <f t="shared" si="18"/>
        <v>43227</v>
      </c>
      <c r="G343">
        <v>333</v>
      </c>
    </row>
    <row r="344" spans="2:7" x14ac:dyDescent="0.35">
      <c r="B344" t="s">
        <v>73</v>
      </c>
      <c r="C344" t="s">
        <v>196</v>
      </c>
      <c r="D344" s="21">
        <f t="shared" si="19"/>
        <v>43241</v>
      </c>
      <c r="E344" s="21">
        <f t="shared" si="17"/>
        <v>43248</v>
      </c>
      <c r="F344" s="21">
        <f t="shared" si="18"/>
        <v>43234</v>
      </c>
      <c r="G344">
        <v>334</v>
      </c>
    </row>
    <row r="345" spans="2:7" x14ac:dyDescent="0.35">
      <c r="B345" t="s">
        <v>73</v>
      </c>
      <c r="C345" t="s">
        <v>196</v>
      </c>
      <c r="D345" s="21">
        <f t="shared" si="19"/>
        <v>43248</v>
      </c>
      <c r="E345" s="21">
        <f t="shared" si="17"/>
        <v>43255</v>
      </c>
      <c r="F345" s="21">
        <f t="shared" si="18"/>
        <v>43241</v>
      </c>
      <c r="G345">
        <v>335</v>
      </c>
    </row>
    <row r="346" spans="2:7" x14ac:dyDescent="0.35">
      <c r="B346" t="s">
        <v>73</v>
      </c>
      <c r="C346" t="s">
        <v>196</v>
      </c>
      <c r="D346" s="21">
        <f t="shared" si="19"/>
        <v>43255</v>
      </c>
      <c r="E346" s="21">
        <f t="shared" si="17"/>
        <v>43262</v>
      </c>
      <c r="F346" s="21">
        <f t="shared" si="18"/>
        <v>43248</v>
      </c>
      <c r="G346">
        <v>336</v>
      </c>
    </row>
    <row r="347" spans="2:7" x14ac:dyDescent="0.35">
      <c r="B347" t="s">
        <v>73</v>
      </c>
      <c r="C347" t="s">
        <v>196</v>
      </c>
      <c r="D347" s="21">
        <f t="shared" si="19"/>
        <v>43262</v>
      </c>
      <c r="E347" s="21">
        <f t="shared" si="17"/>
        <v>43269</v>
      </c>
      <c r="F347" s="21">
        <f t="shared" si="18"/>
        <v>43255</v>
      </c>
      <c r="G347">
        <v>337</v>
      </c>
    </row>
    <row r="348" spans="2:7" x14ac:dyDescent="0.35">
      <c r="B348" t="s">
        <v>73</v>
      </c>
      <c r="C348" t="s">
        <v>196</v>
      </c>
      <c r="D348" s="21">
        <f t="shared" si="19"/>
        <v>43269</v>
      </c>
      <c r="E348" s="21">
        <f t="shared" si="17"/>
        <v>43276</v>
      </c>
      <c r="F348" s="21">
        <f t="shared" si="18"/>
        <v>43262</v>
      </c>
      <c r="G348">
        <v>338</v>
      </c>
    </row>
    <row r="349" spans="2:7" x14ac:dyDescent="0.35">
      <c r="B349" t="s">
        <v>73</v>
      </c>
      <c r="C349" t="s">
        <v>196</v>
      </c>
      <c r="D349" s="21">
        <f t="shared" si="19"/>
        <v>43276</v>
      </c>
      <c r="E349" s="21">
        <f t="shared" si="17"/>
        <v>43283</v>
      </c>
      <c r="F349" s="21">
        <f t="shared" si="18"/>
        <v>43269</v>
      </c>
      <c r="G349">
        <v>339</v>
      </c>
    </row>
    <row r="350" spans="2:7" x14ac:dyDescent="0.35">
      <c r="B350" t="s">
        <v>73</v>
      </c>
      <c r="C350" t="s">
        <v>196</v>
      </c>
      <c r="D350" s="21">
        <f t="shared" si="19"/>
        <v>43283</v>
      </c>
      <c r="E350" s="21">
        <f t="shared" si="17"/>
        <v>43290</v>
      </c>
      <c r="F350" s="21">
        <f t="shared" si="18"/>
        <v>43276</v>
      </c>
      <c r="G350">
        <v>340</v>
      </c>
    </row>
    <row r="351" spans="2:7" x14ac:dyDescent="0.35">
      <c r="B351" t="s">
        <v>73</v>
      </c>
      <c r="C351" t="s">
        <v>196</v>
      </c>
      <c r="D351" s="21">
        <f t="shared" si="19"/>
        <v>43290</v>
      </c>
      <c r="E351" s="21">
        <f t="shared" si="17"/>
        <v>43297</v>
      </c>
      <c r="F351" s="21">
        <f t="shared" si="18"/>
        <v>43283</v>
      </c>
      <c r="G351">
        <v>341</v>
      </c>
    </row>
    <row r="352" spans="2:7" x14ac:dyDescent="0.35">
      <c r="B352" t="s">
        <v>73</v>
      </c>
      <c r="C352" t="s">
        <v>196</v>
      </c>
      <c r="D352" s="21">
        <f t="shared" si="19"/>
        <v>43297</v>
      </c>
      <c r="E352" s="21">
        <f t="shared" si="17"/>
        <v>43304</v>
      </c>
      <c r="F352" s="21">
        <f t="shared" si="18"/>
        <v>43290</v>
      </c>
      <c r="G352">
        <v>342</v>
      </c>
    </row>
    <row r="353" spans="2:7" x14ac:dyDescent="0.35">
      <c r="B353" t="s">
        <v>73</v>
      </c>
      <c r="C353" t="s">
        <v>196</v>
      </c>
      <c r="D353" s="21">
        <f t="shared" si="19"/>
        <v>43304</v>
      </c>
      <c r="E353" s="21">
        <f t="shared" si="17"/>
        <v>43311</v>
      </c>
      <c r="F353" s="21">
        <f t="shared" si="18"/>
        <v>43297</v>
      </c>
      <c r="G353">
        <v>343</v>
      </c>
    </row>
    <row r="354" spans="2:7" x14ac:dyDescent="0.35">
      <c r="B354" t="s">
        <v>73</v>
      </c>
      <c r="C354" t="s">
        <v>196</v>
      </c>
      <c r="D354" s="21">
        <f t="shared" si="19"/>
        <v>43311</v>
      </c>
      <c r="E354" s="21">
        <f t="shared" si="17"/>
        <v>43318</v>
      </c>
      <c r="F354" s="21">
        <f t="shared" si="18"/>
        <v>43304</v>
      </c>
      <c r="G354">
        <v>344</v>
      </c>
    </row>
    <row r="355" spans="2:7" x14ac:dyDescent="0.35">
      <c r="B355" t="s">
        <v>73</v>
      </c>
      <c r="C355" t="s">
        <v>196</v>
      </c>
      <c r="D355" s="21">
        <f t="shared" si="19"/>
        <v>43318</v>
      </c>
      <c r="E355" s="21">
        <f t="shared" si="17"/>
        <v>43325</v>
      </c>
      <c r="F355" s="21">
        <f t="shared" si="18"/>
        <v>43311</v>
      </c>
      <c r="G355">
        <v>345</v>
      </c>
    </row>
    <row r="356" spans="2:7" x14ac:dyDescent="0.35">
      <c r="B356" t="s">
        <v>73</v>
      </c>
      <c r="C356" t="s">
        <v>196</v>
      </c>
      <c r="D356" s="21">
        <f t="shared" si="19"/>
        <v>43325</v>
      </c>
      <c r="E356" s="21">
        <f t="shared" si="17"/>
        <v>43332</v>
      </c>
      <c r="F356" s="21">
        <f t="shared" si="18"/>
        <v>43318</v>
      </c>
      <c r="G356">
        <v>346</v>
      </c>
    </row>
    <row r="357" spans="2:7" x14ac:dyDescent="0.35">
      <c r="B357" t="s">
        <v>73</v>
      </c>
      <c r="C357" t="s">
        <v>196</v>
      </c>
      <c r="D357" s="21">
        <f t="shared" si="19"/>
        <v>43332</v>
      </c>
      <c r="E357" s="21">
        <f t="shared" si="17"/>
        <v>43339</v>
      </c>
      <c r="F357" s="21">
        <f t="shared" si="18"/>
        <v>43325</v>
      </c>
      <c r="G357">
        <v>347</v>
      </c>
    </row>
    <row r="358" spans="2:7" x14ac:dyDescent="0.35">
      <c r="B358" t="s">
        <v>73</v>
      </c>
      <c r="C358" t="s">
        <v>196</v>
      </c>
      <c r="D358" s="21">
        <f t="shared" si="19"/>
        <v>43339</v>
      </c>
      <c r="E358" s="21">
        <f t="shared" si="17"/>
        <v>43346</v>
      </c>
      <c r="F358" s="21">
        <f t="shared" si="18"/>
        <v>43332</v>
      </c>
      <c r="G358">
        <v>348</v>
      </c>
    </row>
    <row r="359" spans="2:7" x14ac:dyDescent="0.35">
      <c r="B359" t="s">
        <v>73</v>
      </c>
      <c r="C359" t="s">
        <v>196</v>
      </c>
      <c r="D359" s="21">
        <f t="shared" si="19"/>
        <v>43346</v>
      </c>
      <c r="E359" s="21">
        <f t="shared" si="17"/>
        <v>43353</v>
      </c>
      <c r="F359" s="21">
        <f t="shared" si="18"/>
        <v>43339</v>
      </c>
      <c r="G359">
        <v>349</v>
      </c>
    </row>
    <row r="360" spans="2:7" x14ac:dyDescent="0.35">
      <c r="B360" t="s">
        <v>73</v>
      </c>
      <c r="C360" t="s">
        <v>196</v>
      </c>
      <c r="D360" s="21">
        <f t="shared" si="19"/>
        <v>43353</v>
      </c>
      <c r="E360" s="21">
        <f t="shared" si="17"/>
        <v>43360</v>
      </c>
      <c r="F360" s="21">
        <f t="shared" si="18"/>
        <v>43346</v>
      </c>
      <c r="G360">
        <v>350</v>
      </c>
    </row>
    <row r="361" spans="2:7" x14ac:dyDescent="0.35">
      <c r="B361" t="s">
        <v>73</v>
      </c>
      <c r="C361" t="s">
        <v>196</v>
      </c>
      <c r="D361" s="21">
        <f t="shared" si="19"/>
        <v>43360</v>
      </c>
      <c r="E361" s="21">
        <f t="shared" si="17"/>
        <v>43367</v>
      </c>
      <c r="F361" s="21">
        <f t="shared" si="18"/>
        <v>43353</v>
      </c>
      <c r="G361">
        <v>351</v>
      </c>
    </row>
    <row r="362" spans="2:7" x14ac:dyDescent="0.35">
      <c r="B362" t="s">
        <v>73</v>
      </c>
      <c r="C362" t="s">
        <v>196</v>
      </c>
      <c r="D362" s="21">
        <f t="shared" si="19"/>
        <v>43367</v>
      </c>
      <c r="E362" s="21">
        <f t="shared" si="17"/>
        <v>43374</v>
      </c>
      <c r="F362" s="21">
        <f t="shared" si="18"/>
        <v>43360</v>
      </c>
      <c r="G362">
        <v>352</v>
      </c>
    </row>
    <row r="363" spans="2:7" x14ac:dyDescent="0.35">
      <c r="B363" t="s">
        <v>73</v>
      </c>
      <c r="C363" t="s">
        <v>196</v>
      </c>
      <c r="D363" s="21">
        <f t="shared" si="19"/>
        <v>43374</v>
      </c>
      <c r="E363" s="21">
        <f t="shared" si="17"/>
        <v>43381</v>
      </c>
      <c r="F363" s="21">
        <f t="shared" si="18"/>
        <v>43367</v>
      </c>
      <c r="G363">
        <v>353</v>
      </c>
    </row>
    <row r="364" spans="2:7" x14ac:dyDescent="0.35">
      <c r="B364" t="s">
        <v>73</v>
      </c>
      <c r="C364" t="s">
        <v>196</v>
      </c>
      <c r="D364" s="21">
        <f t="shared" si="19"/>
        <v>43381</v>
      </c>
      <c r="E364" s="21">
        <f t="shared" si="17"/>
        <v>43388</v>
      </c>
      <c r="F364" s="21">
        <f t="shared" si="18"/>
        <v>43374</v>
      </c>
      <c r="G364">
        <v>354</v>
      </c>
    </row>
    <row r="365" spans="2:7" x14ac:dyDescent="0.35">
      <c r="B365" t="s">
        <v>73</v>
      </c>
      <c r="C365" t="s">
        <v>196</v>
      </c>
      <c r="D365" s="21">
        <f t="shared" si="19"/>
        <v>43388</v>
      </c>
      <c r="E365" s="21">
        <f t="shared" si="17"/>
        <v>43395</v>
      </c>
      <c r="F365" s="21">
        <f t="shared" si="18"/>
        <v>43381</v>
      </c>
      <c r="G365">
        <v>355</v>
      </c>
    </row>
    <row r="366" spans="2:7" x14ac:dyDescent="0.35">
      <c r="B366" t="s">
        <v>73</v>
      </c>
      <c r="C366" t="s">
        <v>196</v>
      </c>
      <c r="D366" s="21">
        <f t="shared" si="19"/>
        <v>43395</v>
      </c>
      <c r="E366" s="21">
        <f t="shared" si="17"/>
        <v>43402</v>
      </c>
      <c r="F366" s="21">
        <f t="shared" si="18"/>
        <v>43388</v>
      </c>
      <c r="G366">
        <v>356</v>
      </c>
    </row>
    <row r="367" spans="2:7" x14ac:dyDescent="0.35">
      <c r="B367" t="s">
        <v>73</v>
      </c>
      <c r="C367" t="s">
        <v>196</v>
      </c>
      <c r="D367" s="21">
        <f t="shared" si="19"/>
        <v>43402</v>
      </c>
      <c r="E367" s="21">
        <f t="shared" si="17"/>
        <v>43409</v>
      </c>
      <c r="F367" s="21">
        <f t="shared" si="18"/>
        <v>43395</v>
      </c>
      <c r="G367">
        <v>357</v>
      </c>
    </row>
    <row r="368" spans="2:7" x14ac:dyDescent="0.35">
      <c r="B368" t="s">
        <v>73</v>
      </c>
      <c r="C368" t="s">
        <v>196</v>
      </c>
      <c r="D368" s="21">
        <f t="shared" si="19"/>
        <v>43409</v>
      </c>
      <c r="E368" s="21">
        <f t="shared" si="17"/>
        <v>43416</v>
      </c>
      <c r="F368" s="21">
        <f t="shared" si="18"/>
        <v>43402</v>
      </c>
      <c r="G368">
        <v>358</v>
      </c>
    </row>
    <row r="369" spans="2:7" x14ac:dyDescent="0.35">
      <c r="B369" t="s">
        <v>73</v>
      </c>
      <c r="C369" t="s">
        <v>196</v>
      </c>
      <c r="D369" s="21">
        <f t="shared" si="19"/>
        <v>43416</v>
      </c>
      <c r="E369" s="21">
        <f t="shared" si="17"/>
        <v>43423</v>
      </c>
      <c r="F369" s="21">
        <f t="shared" si="18"/>
        <v>43409</v>
      </c>
      <c r="G369">
        <v>359</v>
      </c>
    </row>
    <row r="370" spans="2:7" x14ac:dyDescent="0.35">
      <c r="B370" t="s">
        <v>73</v>
      </c>
      <c r="C370" t="s">
        <v>196</v>
      </c>
      <c r="D370" s="21">
        <f t="shared" si="19"/>
        <v>43423</v>
      </c>
      <c r="E370" s="21">
        <f t="shared" si="17"/>
        <v>43430</v>
      </c>
      <c r="F370" s="21">
        <f t="shared" si="18"/>
        <v>43416</v>
      </c>
      <c r="G370">
        <v>360</v>
      </c>
    </row>
    <row r="371" spans="2:7" x14ac:dyDescent="0.35">
      <c r="B371" t="s">
        <v>73</v>
      </c>
      <c r="C371" t="s">
        <v>196</v>
      </c>
      <c r="D371" s="21">
        <f t="shared" si="19"/>
        <v>43430</v>
      </c>
      <c r="E371" s="21">
        <f t="shared" si="17"/>
        <v>43437</v>
      </c>
      <c r="F371" s="21">
        <f t="shared" si="18"/>
        <v>43423</v>
      </c>
      <c r="G371">
        <v>361</v>
      </c>
    </row>
    <row r="372" spans="2:7" x14ac:dyDescent="0.35">
      <c r="B372" t="s">
        <v>73</v>
      </c>
      <c r="C372" t="s">
        <v>196</v>
      </c>
      <c r="D372" s="21">
        <f>D371+7</f>
        <v>43437</v>
      </c>
      <c r="E372" s="21">
        <f t="shared" si="17"/>
        <v>43444</v>
      </c>
      <c r="F372" s="21">
        <f t="shared" si="18"/>
        <v>43430</v>
      </c>
      <c r="G372">
        <v>362</v>
      </c>
    </row>
    <row r="373" spans="2:7" x14ac:dyDescent="0.35">
      <c r="B373" t="s">
        <v>73</v>
      </c>
      <c r="C373" t="s">
        <v>196</v>
      </c>
      <c r="D373" s="21">
        <f t="shared" ref="D373:D436" si="20">D372+7</f>
        <v>43444</v>
      </c>
      <c r="E373" s="21">
        <f t="shared" si="17"/>
        <v>43451</v>
      </c>
      <c r="F373" s="21">
        <f t="shared" si="18"/>
        <v>43437</v>
      </c>
      <c r="G373">
        <v>363</v>
      </c>
    </row>
    <row r="374" spans="2:7" x14ac:dyDescent="0.35">
      <c r="B374" t="s">
        <v>73</v>
      </c>
      <c r="C374" t="s">
        <v>196</v>
      </c>
      <c r="D374" s="21">
        <f t="shared" si="20"/>
        <v>43451</v>
      </c>
      <c r="E374" s="21">
        <f t="shared" si="17"/>
        <v>43458</v>
      </c>
      <c r="F374" s="21">
        <f t="shared" si="18"/>
        <v>43444</v>
      </c>
      <c r="G374">
        <v>364</v>
      </c>
    </row>
    <row r="375" spans="2:7" x14ac:dyDescent="0.35">
      <c r="B375" t="s">
        <v>73</v>
      </c>
      <c r="C375" t="s">
        <v>196</v>
      </c>
      <c r="D375" s="21">
        <f t="shared" si="20"/>
        <v>43458</v>
      </c>
      <c r="E375" s="21">
        <f t="shared" si="17"/>
        <v>43465</v>
      </c>
      <c r="F375" s="21">
        <f t="shared" si="18"/>
        <v>43451</v>
      </c>
      <c r="G375">
        <v>365</v>
      </c>
    </row>
    <row r="376" spans="2:7" x14ac:dyDescent="0.35">
      <c r="B376" t="s">
        <v>73</v>
      </c>
      <c r="C376" t="s">
        <v>196</v>
      </c>
      <c r="D376" s="21">
        <f t="shared" si="20"/>
        <v>43465</v>
      </c>
      <c r="E376" s="21">
        <f t="shared" si="17"/>
        <v>43472</v>
      </c>
      <c r="F376" s="21">
        <f t="shared" si="18"/>
        <v>43458</v>
      </c>
      <c r="G376">
        <v>366</v>
      </c>
    </row>
    <row r="377" spans="2:7" x14ac:dyDescent="0.35">
      <c r="B377" t="s">
        <v>73</v>
      </c>
      <c r="C377" t="s">
        <v>196</v>
      </c>
      <c r="D377" s="21">
        <f t="shared" si="20"/>
        <v>43472</v>
      </c>
      <c r="E377" s="21">
        <f t="shared" si="17"/>
        <v>43479</v>
      </c>
      <c r="F377" s="21">
        <f t="shared" si="18"/>
        <v>43465</v>
      </c>
      <c r="G377">
        <v>367</v>
      </c>
    </row>
    <row r="378" spans="2:7" x14ac:dyDescent="0.35">
      <c r="B378" t="s">
        <v>73</v>
      </c>
      <c r="C378" t="s">
        <v>196</v>
      </c>
      <c r="D378" s="21">
        <f t="shared" si="20"/>
        <v>43479</v>
      </c>
      <c r="E378" s="21">
        <f t="shared" si="17"/>
        <v>43486</v>
      </c>
      <c r="F378" s="21">
        <f t="shared" si="18"/>
        <v>43472</v>
      </c>
      <c r="G378">
        <v>368</v>
      </c>
    </row>
    <row r="379" spans="2:7" x14ac:dyDescent="0.35">
      <c r="B379" t="s">
        <v>73</v>
      </c>
      <c r="C379" t="s">
        <v>196</v>
      </c>
      <c r="D379" s="21">
        <f t="shared" si="20"/>
        <v>43486</v>
      </c>
      <c r="E379" s="21">
        <f t="shared" si="17"/>
        <v>43493</v>
      </c>
      <c r="F379" s="21">
        <f t="shared" si="18"/>
        <v>43479</v>
      </c>
      <c r="G379">
        <v>369</v>
      </c>
    </row>
    <row r="380" spans="2:7" x14ac:dyDescent="0.35">
      <c r="B380" t="s">
        <v>73</v>
      </c>
      <c r="C380" t="s">
        <v>196</v>
      </c>
      <c r="D380" s="21">
        <f t="shared" si="20"/>
        <v>43493</v>
      </c>
      <c r="E380" s="21">
        <f t="shared" si="17"/>
        <v>43500</v>
      </c>
      <c r="F380" s="21">
        <f t="shared" si="18"/>
        <v>43486</v>
      </c>
      <c r="G380">
        <v>370</v>
      </c>
    </row>
    <row r="381" spans="2:7" x14ac:dyDescent="0.35">
      <c r="B381" t="s">
        <v>73</v>
      </c>
      <c r="C381" t="s">
        <v>196</v>
      </c>
      <c r="D381" s="21">
        <f t="shared" si="20"/>
        <v>43500</v>
      </c>
      <c r="E381" s="21">
        <f t="shared" si="17"/>
        <v>43507</v>
      </c>
      <c r="F381" s="21">
        <f t="shared" si="18"/>
        <v>43493</v>
      </c>
      <c r="G381">
        <v>371</v>
      </c>
    </row>
    <row r="382" spans="2:7" x14ac:dyDescent="0.35">
      <c r="B382" t="s">
        <v>73</v>
      </c>
      <c r="C382" t="s">
        <v>196</v>
      </c>
      <c r="D382" s="21">
        <f t="shared" si="20"/>
        <v>43507</v>
      </c>
      <c r="E382" s="21">
        <f t="shared" si="17"/>
        <v>43514</v>
      </c>
      <c r="F382" s="21">
        <f t="shared" si="18"/>
        <v>43500</v>
      </c>
      <c r="G382">
        <v>372</v>
      </c>
    </row>
    <row r="383" spans="2:7" x14ac:dyDescent="0.35">
      <c r="B383" t="s">
        <v>73</v>
      </c>
      <c r="C383" t="s">
        <v>196</v>
      </c>
      <c r="D383" s="21">
        <f t="shared" si="20"/>
        <v>43514</v>
      </c>
      <c r="E383" s="21">
        <f t="shared" si="17"/>
        <v>43521</v>
      </c>
      <c r="F383" s="21">
        <f t="shared" si="18"/>
        <v>43507</v>
      </c>
      <c r="G383">
        <v>373</v>
      </c>
    </row>
    <row r="384" spans="2:7" x14ac:dyDescent="0.35">
      <c r="B384" t="s">
        <v>73</v>
      </c>
      <c r="C384" t="s">
        <v>196</v>
      </c>
      <c r="D384" s="21">
        <f t="shared" si="20"/>
        <v>43521</v>
      </c>
      <c r="E384" s="21">
        <f t="shared" si="17"/>
        <v>43528</v>
      </c>
      <c r="F384" s="21">
        <f t="shared" si="18"/>
        <v>43514</v>
      </c>
      <c r="G384">
        <v>374</v>
      </c>
    </row>
    <row r="385" spans="2:7" x14ac:dyDescent="0.35">
      <c r="B385" t="s">
        <v>73</v>
      </c>
      <c r="C385" t="s">
        <v>196</v>
      </c>
      <c r="D385" s="21">
        <f t="shared" si="20"/>
        <v>43528</v>
      </c>
      <c r="E385" s="21">
        <f t="shared" si="17"/>
        <v>43535</v>
      </c>
      <c r="F385" s="21">
        <f t="shared" si="18"/>
        <v>43521</v>
      </c>
      <c r="G385">
        <v>375</v>
      </c>
    </row>
    <row r="386" spans="2:7" x14ac:dyDescent="0.35">
      <c r="B386" t="s">
        <v>73</v>
      </c>
      <c r="C386" t="s">
        <v>196</v>
      </c>
      <c r="D386" s="21">
        <f t="shared" si="20"/>
        <v>43535</v>
      </c>
      <c r="E386" s="21">
        <f t="shared" si="17"/>
        <v>43542</v>
      </c>
      <c r="F386" s="21">
        <f t="shared" si="18"/>
        <v>43528</v>
      </c>
      <c r="G386">
        <v>376</v>
      </c>
    </row>
    <row r="387" spans="2:7" x14ac:dyDescent="0.35">
      <c r="B387" t="s">
        <v>73</v>
      </c>
      <c r="C387" t="s">
        <v>196</v>
      </c>
      <c r="D387" s="21">
        <f t="shared" si="20"/>
        <v>43542</v>
      </c>
      <c r="E387" s="21">
        <f t="shared" si="17"/>
        <v>43549</v>
      </c>
      <c r="F387" s="21">
        <f t="shared" si="18"/>
        <v>43535</v>
      </c>
      <c r="G387">
        <v>377</v>
      </c>
    </row>
    <row r="388" spans="2:7" x14ac:dyDescent="0.35">
      <c r="B388" t="s">
        <v>73</v>
      </c>
      <c r="C388" t="s">
        <v>196</v>
      </c>
      <c r="D388" s="21">
        <f t="shared" si="20"/>
        <v>43549</v>
      </c>
      <c r="E388" s="21">
        <f t="shared" si="17"/>
        <v>43556</v>
      </c>
      <c r="F388" s="21">
        <f t="shared" si="18"/>
        <v>43542</v>
      </c>
      <c r="G388">
        <v>378</v>
      </c>
    </row>
    <row r="389" spans="2:7" x14ac:dyDescent="0.35">
      <c r="B389" t="s">
        <v>73</v>
      </c>
      <c r="C389" t="s">
        <v>196</v>
      </c>
      <c r="D389" s="21">
        <f t="shared" si="20"/>
        <v>43556</v>
      </c>
      <c r="E389" s="21">
        <f t="shared" si="17"/>
        <v>43563</v>
      </c>
      <c r="F389" s="21">
        <f t="shared" si="18"/>
        <v>43549</v>
      </c>
      <c r="G389">
        <v>379</v>
      </c>
    </row>
    <row r="390" spans="2:7" x14ac:dyDescent="0.35">
      <c r="B390" t="s">
        <v>73</v>
      </c>
      <c r="C390" t="s">
        <v>196</v>
      </c>
      <c r="D390" s="21">
        <f t="shared" si="20"/>
        <v>43563</v>
      </c>
      <c r="E390" s="21">
        <f t="shared" si="17"/>
        <v>43570</v>
      </c>
      <c r="F390" s="21">
        <f t="shared" si="18"/>
        <v>43556</v>
      </c>
      <c r="G390">
        <v>380</v>
      </c>
    </row>
    <row r="391" spans="2:7" x14ac:dyDescent="0.35">
      <c r="B391" t="s">
        <v>73</v>
      </c>
      <c r="C391" t="s">
        <v>196</v>
      </c>
      <c r="D391" s="21">
        <f t="shared" si="20"/>
        <v>43570</v>
      </c>
      <c r="E391" s="21">
        <f t="shared" si="17"/>
        <v>43577</v>
      </c>
      <c r="F391" s="21">
        <f t="shared" si="18"/>
        <v>43563</v>
      </c>
      <c r="G391">
        <v>381</v>
      </c>
    </row>
    <row r="392" spans="2:7" x14ac:dyDescent="0.35">
      <c r="B392" t="s">
        <v>73</v>
      </c>
      <c r="C392" t="s">
        <v>196</v>
      </c>
      <c r="D392" s="21">
        <f t="shared" si="20"/>
        <v>43577</v>
      </c>
      <c r="E392" s="21">
        <f t="shared" si="17"/>
        <v>43584</v>
      </c>
      <c r="F392" s="21">
        <f t="shared" si="18"/>
        <v>43570</v>
      </c>
      <c r="G392">
        <v>382</v>
      </c>
    </row>
    <row r="393" spans="2:7" x14ac:dyDescent="0.35">
      <c r="B393" t="s">
        <v>73</v>
      </c>
      <c r="C393" t="s">
        <v>196</v>
      </c>
      <c r="D393" s="21">
        <f t="shared" si="20"/>
        <v>43584</v>
      </c>
      <c r="E393" s="21">
        <f t="shared" si="17"/>
        <v>43591</v>
      </c>
      <c r="F393" s="21">
        <f t="shared" si="18"/>
        <v>43577</v>
      </c>
      <c r="G393">
        <v>383</v>
      </c>
    </row>
    <row r="394" spans="2:7" x14ac:dyDescent="0.35">
      <c r="B394" t="s">
        <v>73</v>
      </c>
      <c r="C394" t="s">
        <v>196</v>
      </c>
      <c r="D394" s="21">
        <f t="shared" si="20"/>
        <v>43591</v>
      </c>
      <c r="E394" s="21">
        <f t="shared" si="17"/>
        <v>43598</v>
      </c>
      <c r="F394" s="21">
        <f t="shared" si="18"/>
        <v>43584</v>
      </c>
      <c r="G394">
        <v>384</v>
      </c>
    </row>
    <row r="395" spans="2:7" x14ac:dyDescent="0.35">
      <c r="B395" t="s">
        <v>73</v>
      </c>
      <c r="C395" t="s">
        <v>196</v>
      </c>
      <c r="D395" s="21">
        <f t="shared" si="20"/>
        <v>43598</v>
      </c>
      <c r="E395" s="21">
        <f t="shared" si="17"/>
        <v>43605</v>
      </c>
      <c r="F395" s="21">
        <f t="shared" si="18"/>
        <v>43591</v>
      </c>
      <c r="G395">
        <v>385</v>
      </c>
    </row>
    <row r="396" spans="2:7" x14ac:dyDescent="0.35">
      <c r="B396" t="s">
        <v>73</v>
      </c>
      <c r="C396" t="s">
        <v>196</v>
      </c>
      <c r="D396" s="21">
        <f t="shared" si="20"/>
        <v>43605</v>
      </c>
      <c r="E396" s="21">
        <f t="shared" ref="E396:E459" si="21">D396+7</f>
        <v>43612</v>
      </c>
      <c r="F396" s="21">
        <f t="shared" ref="F396:F459" si="22">D396-7</f>
        <v>43598</v>
      </c>
      <c r="G396">
        <v>386</v>
      </c>
    </row>
    <row r="397" spans="2:7" x14ac:dyDescent="0.35">
      <c r="B397" t="s">
        <v>73</v>
      </c>
      <c r="C397" t="s">
        <v>196</v>
      </c>
      <c r="D397" s="21">
        <f t="shared" si="20"/>
        <v>43612</v>
      </c>
      <c r="E397" s="21">
        <f t="shared" si="21"/>
        <v>43619</v>
      </c>
      <c r="F397" s="21">
        <f t="shared" si="22"/>
        <v>43605</v>
      </c>
      <c r="G397">
        <v>387</v>
      </c>
    </row>
    <row r="398" spans="2:7" x14ac:dyDescent="0.35">
      <c r="B398" t="s">
        <v>73</v>
      </c>
      <c r="C398" t="s">
        <v>196</v>
      </c>
      <c r="D398" s="21">
        <f t="shared" si="20"/>
        <v>43619</v>
      </c>
      <c r="E398" s="21">
        <f t="shared" si="21"/>
        <v>43626</v>
      </c>
      <c r="F398" s="21">
        <f t="shared" si="22"/>
        <v>43612</v>
      </c>
      <c r="G398">
        <v>388</v>
      </c>
    </row>
    <row r="399" spans="2:7" x14ac:dyDescent="0.35">
      <c r="B399" t="s">
        <v>73</v>
      </c>
      <c r="C399" t="s">
        <v>196</v>
      </c>
      <c r="D399" s="21">
        <f t="shared" si="20"/>
        <v>43626</v>
      </c>
      <c r="E399" s="21">
        <f t="shared" si="21"/>
        <v>43633</v>
      </c>
      <c r="F399" s="21">
        <f t="shared" si="22"/>
        <v>43619</v>
      </c>
      <c r="G399">
        <v>389</v>
      </c>
    </row>
    <row r="400" spans="2:7" x14ac:dyDescent="0.35">
      <c r="B400" t="s">
        <v>73</v>
      </c>
      <c r="C400" t="s">
        <v>196</v>
      </c>
      <c r="D400" s="21">
        <f t="shared" si="20"/>
        <v>43633</v>
      </c>
      <c r="E400" s="21">
        <f t="shared" si="21"/>
        <v>43640</v>
      </c>
      <c r="F400" s="21">
        <f t="shared" si="22"/>
        <v>43626</v>
      </c>
      <c r="G400">
        <v>390</v>
      </c>
    </row>
    <row r="401" spans="2:7" x14ac:dyDescent="0.35">
      <c r="B401" t="s">
        <v>73</v>
      </c>
      <c r="C401" t="s">
        <v>196</v>
      </c>
      <c r="D401" s="21">
        <f t="shared" si="20"/>
        <v>43640</v>
      </c>
      <c r="E401" s="21">
        <f t="shared" si="21"/>
        <v>43647</v>
      </c>
      <c r="F401" s="21">
        <f t="shared" si="22"/>
        <v>43633</v>
      </c>
      <c r="G401">
        <v>391</v>
      </c>
    </row>
    <row r="402" spans="2:7" x14ac:dyDescent="0.35">
      <c r="B402" t="s">
        <v>73</v>
      </c>
      <c r="C402" t="s">
        <v>196</v>
      </c>
      <c r="D402" s="21">
        <f t="shared" si="20"/>
        <v>43647</v>
      </c>
      <c r="E402" s="21">
        <f t="shared" si="21"/>
        <v>43654</v>
      </c>
      <c r="F402" s="21">
        <f t="shared" si="22"/>
        <v>43640</v>
      </c>
      <c r="G402">
        <v>392</v>
      </c>
    </row>
    <row r="403" spans="2:7" x14ac:dyDescent="0.35">
      <c r="B403" t="s">
        <v>73</v>
      </c>
      <c r="C403" t="s">
        <v>196</v>
      </c>
      <c r="D403" s="21">
        <f t="shared" si="20"/>
        <v>43654</v>
      </c>
      <c r="E403" s="21">
        <f t="shared" si="21"/>
        <v>43661</v>
      </c>
      <c r="F403" s="21">
        <f t="shared" si="22"/>
        <v>43647</v>
      </c>
      <c r="G403">
        <v>393</v>
      </c>
    </row>
    <row r="404" spans="2:7" x14ac:dyDescent="0.35">
      <c r="B404" t="s">
        <v>73</v>
      </c>
      <c r="C404" t="s">
        <v>196</v>
      </c>
      <c r="D404" s="21">
        <f t="shared" si="20"/>
        <v>43661</v>
      </c>
      <c r="E404" s="21">
        <f t="shared" si="21"/>
        <v>43668</v>
      </c>
      <c r="F404" s="21">
        <f t="shared" si="22"/>
        <v>43654</v>
      </c>
      <c r="G404">
        <v>394</v>
      </c>
    </row>
    <row r="405" spans="2:7" x14ac:dyDescent="0.35">
      <c r="B405" t="s">
        <v>73</v>
      </c>
      <c r="C405" t="s">
        <v>196</v>
      </c>
      <c r="D405" s="21">
        <f t="shared" si="20"/>
        <v>43668</v>
      </c>
      <c r="E405" s="21">
        <f t="shared" si="21"/>
        <v>43675</v>
      </c>
      <c r="F405" s="21">
        <f t="shared" si="22"/>
        <v>43661</v>
      </c>
      <c r="G405">
        <v>395</v>
      </c>
    </row>
    <row r="406" spans="2:7" x14ac:dyDescent="0.35">
      <c r="B406" t="s">
        <v>73</v>
      </c>
      <c r="C406" t="s">
        <v>196</v>
      </c>
      <c r="D406" s="21">
        <f t="shared" si="20"/>
        <v>43675</v>
      </c>
      <c r="E406" s="21">
        <f t="shared" si="21"/>
        <v>43682</v>
      </c>
      <c r="F406" s="21">
        <f t="shared" si="22"/>
        <v>43668</v>
      </c>
      <c r="G406">
        <v>396</v>
      </c>
    </row>
    <row r="407" spans="2:7" x14ac:dyDescent="0.35">
      <c r="B407" t="s">
        <v>73</v>
      </c>
      <c r="C407" t="s">
        <v>196</v>
      </c>
      <c r="D407" s="21">
        <f t="shared" si="20"/>
        <v>43682</v>
      </c>
      <c r="E407" s="21">
        <f t="shared" si="21"/>
        <v>43689</v>
      </c>
      <c r="F407" s="21">
        <f t="shared" si="22"/>
        <v>43675</v>
      </c>
      <c r="G407">
        <v>397</v>
      </c>
    </row>
    <row r="408" spans="2:7" x14ac:dyDescent="0.35">
      <c r="B408" t="s">
        <v>73</v>
      </c>
      <c r="C408" t="s">
        <v>196</v>
      </c>
      <c r="D408" s="21">
        <f t="shared" si="20"/>
        <v>43689</v>
      </c>
      <c r="E408" s="21">
        <f t="shared" si="21"/>
        <v>43696</v>
      </c>
      <c r="F408" s="21">
        <f t="shared" si="22"/>
        <v>43682</v>
      </c>
      <c r="G408">
        <v>398</v>
      </c>
    </row>
    <row r="409" spans="2:7" x14ac:dyDescent="0.35">
      <c r="B409" t="s">
        <v>73</v>
      </c>
      <c r="C409" t="s">
        <v>196</v>
      </c>
      <c r="D409" s="21">
        <f t="shared" si="20"/>
        <v>43696</v>
      </c>
      <c r="E409" s="21">
        <f t="shared" si="21"/>
        <v>43703</v>
      </c>
      <c r="F409" s="21">
        <f t="shared" si="22"/>
        <v>43689</v>
      </c>
      <c r="G409">
        <v>399</v>
      </c>
    </row>
    <row r="410" spans="2:7" x14ac:dyDescent="0.35">
      <c r="B410" t="s">
        <v>73</v>
      </c>
      <c r="C410" t="s">
        <v>196</v>
      </c>
      <c r="D410" s="21">
        <f t="shared" si="20"/>
        <v>43703</v>
      </c>
      <c r="E410" s="21">
        <f t="shared" si="21"/>
        <v>43710</v>
      </c>
      <c r="F410" s="21">
        <f t="shared" si="22"/>
        <v>43696</v>
      </c>
      <c r="G410">
        <v>400</v>
      </c>
    </row>
    <row r="411" spans="2:7" x14ac:dyDescent="0.35">
      <c r="B411" t="s">
        <v>73</v>
      </c>
      <c r="C411" t="s">
        <v>196</v>
      </c>
      <c r="D411" s="21">
        <f t="shared" si="20"/>
        <v>43710</v>
      </c>
      <c r="E411" s="21">
        <f t="shared" si="21"/>
        <v>43717</v>
      </c>
      <c r="F411" s="21">
        <f t="shared" si="22"/>
        <v>43703</v>
      </c>
      <c r="G411">
        <v>401</v>
      </c>
    </row>
    <row r="412" spans="2:7" x14ac:dyDescent="0.35">
      <c r="B412" t="s">
        <v>73</v>
      </c>
      <c r="C412" t="s">
        <v>196</v>
      </c>
      <c r="D412" s="21">
        <f t="shared" si="20"/>
        <v>43717</v>
      </c>
      <c r="E412" s="21">
        <f t="shared" si="21"/>
        <v>43724</v>
      </c>
      <c r="F412" s="21">
        <f t="shared" si="22"/>
        <v>43710</v>
      </c>
      <c r="G412">
        <v>402</v>
      </c>
    </row>
    <row r="413" spans="2:7" x14ac:dyDescent="0.35">
      <c r="B413" t="s">
        <v>73</v>
      </c>
      <c r="C413" t="s">
        <v>196</v>
      </c>
      <c r="D413" s="21">
        <f t="shared" si="20"/>
        <v>43724</v>
      </c>
      <c r="E413" s="21">
        <f t="shared" si="21"/>
        <v>43731</v>
      </c>
      <c r="F413" s="21">
        <f t="shared" si="22"/>
        <v>43717</v>
      </c>
      <c r="G413">
        <v>403</v>
      </c>
    </row>
    <row r="414" spans="2:7" x14ac:dyDescent="0.35">
      <c r="B414" t="s">
        <v>73</v>
      </c>
      <c r="C414" t="s">
        <v>196</v>
      </c>
      <c r="D414" s="21">
        <f t="shared" si="20"/>
        <v>43731</v>
      </c>
      <c r="E414" s="21">
        <f t="shared" si="21"/>
        <v>43738</v>
      </c>
      <c r="F414" s="21">
        <f t="shared" si="22"/>
        <v>43724</v>
      </c>
      <c r="G414">
        <v>404</v>
      </c>
    </row>
    <row r="415" spans="2:7" x14ac:dyDescent="0.35">
      <c r="B415" t="s">
        <v>73</v>
      </c>
      <c r="C415" t="s">
        <v>196</v>
      </c>
      <c r="D415" s="21">
        <f t="shared" si="20"/>
        <v>43738</v>
      </c>
      <c r="E415" s="21">
        <f t="shared" si="21"/>
        <v>43745</v>
      </c>
      <c r="F415" s="21">
        <f t="shared" si="22"/>
        <v>43731</v>
      </c>
      <c r="G415">
        <v>405</v>
      </c>
    </row>
    <row r="416" spans="2:7" x14ac:dyDescent="0.35">
      <c r="B416" t="s">
        <v>73</v>
      </c>
      <c r="C416" t="s">
        <v>196</v>
      </c>
      <c r="D416" s="21">
        <f t="shared" si="20"/>
        <v>43745</v>
      </c>
      <c r="E416" s="21">
        <f t="shared" si="21"/>
        <v>43752</v>
      </c>
      <c r="F416" s="21">
        <f t="shared" si="22"/>
        <v>43738</v>
      </c>
      <c r="G416">
        <v>406</v>
      </c>
    </row>
    <row r="417" spans="2:7" x14ac:dyDescent="0.35">
      <c r="B417" t="s">
        <v>73</v>
      </c>
      <c r="C417" t="s">
        <v>196</v>
      </c>
      <c r="D417" s="21">
        <f t="shared" si="20"/>
        <v>43752</v>
      </c>
      <c r="E417" s="21">
        <f t="shared" si="21"/>
        <v>43759</v>
      </c>
      <c r="F417" s="21">
        <f t="shared" si="22"/>
        <v>43745</v>
      </c>
      <c r="G417">
        <v>407</v>
      </c>
    </row>
    <row r="418" spans="2:7" x14ac:dyDescent="0.35">
      <c r="B418" t="s">
        <v>73</v>
      </c>
      <c r="C418" t="s">
        <v>196</v>
      </c>
      <c r="D418" s="21">
        <f t="shared" si="20"/>
        <v>43759</v>
      </c>
      <c r="E418" s="21">
        <f t="shared" si="21"/>
        <v>43766</v>
      </c>
      <c r="F418" s="21">
        <f t="shared" si="22"/>
        <v>43752</v>
      </c>
      <c r="G418">
        <v>408</v>
      </c>
    </row>
    <row r="419" spans="2:7" x14ac:dyDescent="0.35">
      <c r="B419" t="s">
        <v>73</v>
      </c>
      <c r="C419" t="s">
        <v>196</v>
      </c>
      <c r="D419" s="21">
        <f t="shared" si="20"/>
        <v>43766</v>
      </c>
      <c r="E419" s="21">
        <f t="shared" si="21"/>
        <v>43773</v>
      </c>
      <c r="F419" s="21">
        <f t="shared" si="22"/>
        <v>43759</v>
      </c>
      <c r="G419">
        <v>409</v>
      </c>
    </row>
    <row r="420" spans="2:7" x14ac:dyDescent="0.35">
      <c r="B420" t="s">
        <v>73</v>
      </c>
      <c r="C420" t="s">
        <v>196</v>
      </c>
      <c r="D420" s="21">
        <f t="shared" si="20"/>
        <v>43773</v>
      </c>
      <c r="E420" s="21">
        <f t="shared" si="21"/>
        <v>43780</v>
      </c>
      <c r="F420" s="21">
        <f t="shared" si="22"/>
        <v>43766</v>
      </c>
      <c r="G420">
        <v>410</v>
      </c>
    </row>
    <row r="421" spans="2:7" x14ac:dyDescent="0.35">
      <c r="B421" t="s">
        <v>73</v>
      </c>
      <c r="C421" t="s">
        <v>196</v>
      </c>
      <c r="D421" s="21">
        <f t="shared" si="20"/>
        <v>43780</v>
      </c>
      <c r="E421" s="21">
        <f t="shared" si="21"/>
        <v>43787</v>
      </c>
      <c r="F421" s="21">
        <f t="shared" si="22"/>
        <v>43773</v>
      </c>
      <c r="G421">
        <v>411</v>
      </c>
    </row>
    <row r="422" spans="2:7" x14ac:dyDescent="0.35">
      <c r="B422" t="s">
        <v>73</v>
      </c>
      <c r="C422" t="s">
        <v>196</v>
      </c>
      <c r="D422" s="21">
        <f t="shared" si="20"/>
        <v>43787</v>
      </c>
      <c r="E422" s="21">
        <f t="shared" si="21"/>
        <v>43794</v>
      </c>
      <c r="F422" s="21">
        <f t="shared" si="22"/>
        <v>43780</v>
      </c>
      <c r="G422">
        <v>412</v>
      </c>
    </row>
    <row r="423" spans="2:7" x14ac:dyDescent="0.35">
      <c r="B423" t="s">
        <v>73</v>
      </c>
      <c r="C423" t="s">
        <v>196</v>
      </c>
      <c r="D423" s="21">
        <f t="shared" si="20"/>
        <v>43794</v>
      </c>
      <c r="E423" s="21">
        <f t="shared" si="21"/>
        <v>43801</v>
      </c>
      <c r="F423" s="21">
        <f t="shared" si="22"/>
        <v>43787</v>
      </c>
      <c r="G423">
        <v>413</v>
      </c>
    </row>
    <row r="424" spans="2:7" x14ac:dyDescent="0.35">
      <c r="B424" t="s">
        <v>73</v>
      </c>
      <c r="C424" t="s">
        <v>196</v>
      </c>
      <c r="D424" s="21">
        <f t="shared" si="20"/>
        <v>43801</v>
      </c>
      <c r="E424" s="21">
        <f t="shared" si="21"/>
        <v>43808</v>
      </c>
      <c r="F424" s="21">
        <f t="shared" si="22"/>
        <v>43794</v>
      </c>
      <c r="G424">
        <v>414</v>
      </c>
    </row>
    <row r="425" spans="2:7" x14ac:dyDescent="0.35">
      <c r="B425" t="s">
        <v>73</v>
      </c>
      <c r="C425" t="s">
        <v>196</v>
      </c>
      <c r="D425" s="21">
        <f t="shared" si="20"/>
        <v>43808</v>
      </c>
      <c r="E425" s="21">
        <f t="shared" si="21"/>
        <v>43815</v>
      </c>
      <c r="F425" s="21">
        <f t="shared" si="22"/>
        <v>43801</v>
      </c>
      <c r="G425">
        <v>415</v>
      </c>
    </row>
    <row r="426" spans="2:7" x14ac:dyDescent="0.35">
      <c r="B426" t="s">
        <v>73</v>
      </c>
      <c r="C426" t="s">
        <v>196</v>
      </c>
      <c r="D426" s="21">
        <f t="shared" si="20"/>
        <v>43815</v>
      </c>
      <c r="E426" s="21">
        <f t="shared" si="21"/>
        <v>43822</v>
      </c>
      <c r="F426" s="21">
        <f t="shared" si="22"/>
        <v>43808</v>
      </c>
      <c r="G426">
        <v>416</v>
      </c>
    </row>
    <row r="427" spans="2:7" x14ac:dyDescent="0.35">
      <c r="B427" t="s">
        <v>73</v>
      </c>
      <c r="C427" t="s">
        <v>196</v>
      </c>
      <c r="D427" s="21">
        <f t="shared" si="20"/>
        <v>43822</v>
      </c>
      <c r="E427" s="21">
        <f t="shared" si="21"/>
        <v>43829</v>
      </c>
      <c r="F427" s="21">
        <f t="shared" si="22"/>
        <v>43815</v>
      </c>
      <c r="G427">
        <v>417</v>
      </c>
    </row>
    <row r="428" spans="2:7" x14ac:dyDescent="0.35">
      <c r="B428" t="s">
        <v>73</v>
      </c>
      <c r="C428" t="s">
        <v>196</v>
      </c>
      <c r="D428" s="21">
        <f t="shared" si="20"/>
        <v>43829</v>
      </c>
      <c r="E428" s="21">
        <f t="shared" si="21"/>
        <v>43836</v>
      </c>
      <c r="F428" s="21">
        <f t="shared" si="22"/>
        <v>43822</v>
      </c>
      <c r="G428">
        <v>418</v>
      </c>
    </row>
    <row r="429" spans="2:7" x14ac:dyDescent="0.35">
      <c r="B429" t="s">
        <v>73</v>
      </c>
      <c r="C429" t="s">
        <v>196</v>
      </c>
      <c r="D429" s="21">
        <f t="shared" si="20"/>
        <v>43836</v>
      </c>
      <c r="E429" s="21">
        <f t="shared" si="21"/>
        <v>43843</v>
      </c>
      <c r="F429" s="21">
        <f t="shared" si="22"/>
        <v>43829</v>
      </c>
      <c r="G429">
        <v>419</v>
      </c>
    </row>
    <row r="430" spans="2:7" x14ac:dyDescent="0.35">
      <c r="B430" t="s">
        <v>73</v>
      </c>
      <c r="C430" t="s">
        <v>196</v>
      </c>
      <c r="D430" s="21">
        <f t="shared" si="20"/>
        <v>43843</v>
      </c>
      <c r="E430" s="21">
        <f t="shared" si="21"/>
        <v>43850</v>
      </c>
      <c r="F430" s="21">
        <f t="shared" si="22"/>
        <v>43836</v>
      </c>
      <c r="G430">
        <v>420</v>
      </c>
    </row>
    <row r="431" spans="2:7" x14ac:dyDescent="0.35">
      <c r="B431" t="s">
        <v>73</v>
      </c>
      <c r="C431" t="s">
        <v>196</v>
      </c>
      <c r="D431" s="21">
        <f t="shared" si="20"/>
        <v>43850</v>
      </c>
      <c r="E431" s="21">
        <f t="shared" si="21"/>
        <v>43857</v>
      </c>
      <c r="F431" s="21">
        <f t="shared" si="22"/>
        <v>43843</v>
      </c>
      <c r="G431">
        <v>421</v>
      </c>
    </row>
    <row r="432" spans="2:7" x14ac:dyDescent="0.35">
      <c r="B432" t="s">
        <v>73</v>
      </c>
      <c r="C432" t="s">
        <v>196</v>
      </c>
      <c r="D432" s="21">
        <f t="shared" si="20"/>
        <v>43857</v>
      </c>
      <c r="E432" s="21">
        <f t="shared" si="21"/>
        <v>43864</v>
      </c>
      <c r="F432" s="21">
        <f t="shared" si="22"/>
        <v>43850</v>
      </c>
      <c r="G432">
        <v>422</v>
      </c>
    </row>
    <row r="433" spans="2:7" x14ac:dyDescent="0.35">
      <c r="B433" t="s">
        <v>73</v>
      </c>
      <c r="C433" t="s">
        <v>196</v>
      </c>
      <c r="D433" s="21">
        <f t="shared" si="20"/>
        <v>43864</v>
      </c>
      <c r="E433" s="21">
        <f t="shared" si="21"/>
        <v>43871</v>
      </c>
      <c r="F433" s="21">
        <f t="shared" si="22"/>
        <v>43857</v>
      </c>
      <c r="G433">
        <v>423</v>
      </c>
    </row>
    <row r="434" spans="2:7" x14ac:dyDescent="0.35">
      <c r="B434" t="s">
        <v>73</v>
      </c>
      <c r="C434" t="s">
        <v>196</v>
      </c>
      <c r="D434" s="21">
        <f t="shared" si="20"/>
        <v>43871</v>
      </c>
      <c r="E434" s="21">
        <f t="shared" si="21"/>
        <v>43878</v>
      </c>
      <c r="F434" s="21">
        <f t="shared" si="22"/>
        <v>43864</v>
      </c>
      <c r="G434">
        <v>424</v>
      </c>
    </row>
    <row r="435" spans="2:7" x14ac:dyDescent="0.35">
      <c r="B435" t="s">
        <v>73</v>
      </c>
      <c r="C435" t="s">
        <v>196</v>
      </c>
      <c r="D435" s="21">
        <f t="shared" si="20"/>
        <v>43878</v>
      </c>
      <c r="E435" s="21">
        <f t="shared" si="21"/>
        <v>43885</v>
      </c>
      <c r="F435" s="21">
        <f t="shared" si="22"/>
        <v>43871</v>
      </c>
      <c r="G435">
        <v>425</v>
      </c>
    </row>
    <row r="436" spans="2:7" x14ac:dyDescent="0.35">
      <c r="B436" t="s">
        <v>73</v>
      </c>
      <c r="C436" t="s">
        <v>196</v>
      </c>
      <c r="D436" s="21">
        <f t="shared" si="20"/>
        <v>43885</v>
      </c>
      <c r="E436" s="21">
        <f t="shared" si="21"/>
        <v>43892</v>
      </c>
      <c r="F436" s="21">
        <f t="shared" si="22"/>
        <v>43878</v>
      </c>
      <c r="G436">
        <v>426</v>
      </c>
    </row>
    <row r="437" spans="2:7" x14ac:dyDescent="0.35">
      <c r="B437" t="s">
        <v>73</v>
      </c>
      <c r="C437" t="s">
        <v>196</v>
      </c>
      <c r="D437" s="21">
        <f t="shared" ref="D437:D463" si="23">D436+7</f>
        <v>43892</v>
      </c>
      <c r="E437" s="21">
        <f t="shared" si="21"/>
        <v>43899</v>
      </c>
      <c r="F437" s="21">
        <f t="shared" si="22"/>
        <v>43885</v>
      </c>
      <c r="G437">
        <v>427</v>
      </c>
    </row>
    <row r="438" spans="2:7" x14ac:dyDescent="0.35">
      <c r="B438" t="s">
        <v>73</v>
      </c>
      <c r="C438" t="s">
        <v>196</v>
      </c>
      <c r="D438" s="21">
        <f t="shared" si="23"/>
        <v>43899</v>
      </c>
      <c r="E438" s="21">
        <f t="shared" si="21"/>
        <v>43906</v>
      </c>
      <c r="F438" s="21">
        <f t="shared" si="22"/>
        <v>43892</v>
      </c>
      <c r="G438">
        <v>428</v>
      </c>
    </row>
    <row r="439" spans="2:7" x14ac:dyDescent="0.35">
      <c r="B439" t="s">
        <v>73</v>
      </c>
      <c r="C439" t="s">
        <v>196</v>
      </c>
      <c r="D439" s="21">
        <f t="shared" si="23"/>
        <v>43906</v>
      </c>
      <c r="E439" s="21">
        <f t="shared" si="21"/>
        <v>43913</v>
      </c>
      <c r="F439" s="21">
        <f t="shared" si="22"/>
        <v>43899</v>
      </c>
      <c r="G439">
        <v>429</v>
      </c>
    </row>
    <row r="440" spans="2:7" x14ac:dyDescent="0.35">
      <c r="B440" t="s">
        <v>73</v>
      </c>
      <c r="C440" t="s">
        <v>196</v>
      </c>
      <c r="D440" s="21">
        <f t="shared" si="23"/>
        <v>43913</v>
      </c>
      <c r="E440" s="21">
        <f t="shared" si="21"/>
        <v>43920</v>
      </c>
      <c r="F440" s="21">
        <f t="shared" si="22"/>
        <v>43906</v>
      </c>
      <c r="G440">
        <v>430</v>
      </c>
    </row>
    <row r="441" spans="2:7" x14ac:dyDescent="0.35">
      <c r="B441" t="s">
        <v>73</v>
      </c>
      <c r="C441" t="s">
        <v>196</v>
      </c>
      <c r="D441" s="21">
        <f t="shared" si="23"/>
        <v>43920</v>
      </c>
      <c r="E441" s="21">
        <f t="shared" si="21"/>
        <v>43927</v>
      </c>
      <c r="F441" s="21">
        <f t="shared" si="22"/>
        <v>43913</v>
      </c>
      <c r="G441">
        <v>431</v>
      </c>
    </row>
    <row r="442" spans="2:7" x14ac:dyDescent="0.35">
      <c r="B442" t="s">
        <v>73</v>
      </c>
      <c r="C442" t="s">
        <v>196</v>
      </c>
      <c r="D442" s="21">
        <f t="shared" si="23"/>
        <v>43927</v>
      </c>
      <c r="E442" s="21">
        <f t="shared" si="21"/>
        <v>43934</v>
      </c>
      <c r="F442" s="21">
        <f t="shared" si="22"/>
        <v>43920</v>
      </c>
      <c r="G442">
        <v>432</v>
      </c>
    </row>
    <row r="443" spans="2:7" x14ac:dyDescent="0.35">
      <c r="B443" t="s">
        <v>73</v>
      </c>
      <c r="C443" t="s">
        <v>196</v>
      </c>
      <c r="D443" s="21">
        <f t="shared" si="23"/>
        <v>43934</v>
      </c>
      <c r="E443" s="21">
        <f t="shared" si="21"/>
        <v>43941</v>
      </c>
      <c r="F443" s="21">
        <f t="shared" si="22"/>
        <v>43927</v>
      </c>
      <c r="G443">
        <v>433</v>
      </c>
    </row>
    <row r="444" spans="2:7" x14ac:dyDescent="0.35">
      <c r="B444" t="s">
        <v>73</v>
      </c>
      <c r="C444" t="s">
        <v>196</v>
      </c>
      <c r="D444" s="21">
        <f t="shared" si="23"/>
        <v>43941</v>
      </c>
      <c r="E444" s="21">
        <f t="shared" si="21"/>
        <v>43948</v>
      </c>
      <c r="F444" s="21">
        <f t="shared" si="22"/>
        <v>43934</v>
      </c>
      <c r="G444">
        <v>434</v>
      </c>
    </row>
    <row r="445" spans="2:7" x14ac:dyDescent="0.35">
      <c r="B445" t="s">
        <v>73</v>
      </c>
      <c r="C445" t="s">
        <v>196</v>
      </c>
      <c r="D445" s="21">
        <f t="shared" si="23"/>
        <v>43948</v>
      </c>
      <c r="E445" s="21">
        <f t="shared" si="21"/>
        <v>43955</v>
      </c>
      <c r="F445" s="21">
        <f t="shared" si="22"/>
        <v>43941</v>
      </c>
      <c r="G445">
        <v>435</v>
      </c>
    </row>
    <row r="446" spans="2:7" x14ac:dyDescent="0.35">
      <c r="B446" t="s">
        <v>73</v>
      </c>
      <c r="C446" t="s">
        <v>196</v>
      </c>
      <c r="D446" s="21">
        <f t="shared" si="23"/>
        <v>43955</v>
      </c>
      <c r="E446" s="21">
        <f t="shared" si="21"/>
        <v>43962</v>
      </c>
      <c r="F446" s="21">
        <f t="shared" si="22"/>
        <v>43948</v>
      </c>
      <c r="G446">
        <v>436</v>
      </c>
    </row>
    <row r="447" spans="2:7" x14ac:dyDescent="0.35">
      <c r="B447" t="s">
        <v>73</v>
      </c>
      <c r="C447" t="s">
        <v>196</v>
      </c>
      <c r="D447" s="21">
        <f t="shared" si="23"/>
        <v>43962</v>
      </c>
      <c r="E447" s="21">
        <f t="shared" si="21"/>
        <v>43969</v>
      </c>
      <c r="F447" s="21">
        <f t="shared" si="22"/>
        <v>43955</v>
      </c>
      <c r="G447">
        <v>437</v>
      </c>
    </row>
    <row r="448" spans="2:7" x14ac:dyDescent="0.35">
      <c r="B448" t="s">
        <v>73</v>
      </c>
      <c r="C448" t="s">
        <v>196</v>
      </c>
      <c r="D448" s="21">
        <f t="shared" si="23"/>
        <v>43969</v>
      </c>
      <c r="E448" s="21">
        <f t="shared" si="21"/>
        <v>43976</v>
      </c>
      <c r="F448" s="21">
        <f t="shared" si="22"/>
        <v>43962</v>
      </c>
      <c r="G448">
        <v>438</v>
      </c>
    </row>
    <row r="449" spans="2:7" x14ac:dyDescent="0.35">
      <c r="B449" t="s">
        <v>73</v>
      </c>
      <c r="C449" t="s">
        <v>196</v>
      </c>
      <c r="D449" s="21">
        <f t="shared" si="23"/>
        <v>43976</v>
      </c>
      <c r="E449" s="21">
        <f t="shared" si="21"/>
        <v>43983</v>
      </c>
      <c r="F449" s="21">
        <f t="shared" si="22"/>
        <v>43969</v>
      </c>
      <c r="G449">
        <v>439</v>
      </c>
    </row>
    <row r="450" spans="2:7" x14ac:dyDescent="0.35">
      <c r="B450" t="s">
        <v>73</v>
      </c>
      <c r="C450" t="s">
        <v>196</v>
      </c>
      <c r="D450" s="21">
        <f t="shared" si="23"/>
        <v>43983</v>
      </c>
      <c r="E450" s="21">
        <f t="shared" si="21"/>
        <v>43990</v>
      </c>
      <c r="F450" s="21">
        <f t="shared" si="22"/>
        <v>43976</v>
      </c>
      <c r="G450">
        <v>440</v>
      </c>
    </row>
    <row r="451" spans="2:7" x14ac:dyDescent="0.35">
      <c r="B451" t="s">
        <v>73</v>
      </c>
      <c r="C451" t="s">
        <v>196</v>
      </c>
      <c r="D451" s="21">
        <f t="shared" si="23"/>
        <v>43990</v>
      </c>
      <c r="E451" s="21">
        <f t="shared" si="21"/>
        <v>43997</v>
      </c>
      <c r="F451" s="21">
        <f t="shared" si="22"/>
        <v>43983</v>
      </c>
      <c r="G451">
        <v>441</v>
      </c>
    </row>
    <row r="452" spans="2:7" x14ac:dyDescent="0.35">
      <c r="B452" t="s">
        <v>73</v>
      </c>
      <c r="C452" t="s">
        <v>196</v>
      </c>
      <c r="D452" s="21">
        <f t="shared" si="23"/>
        <v>43997</v>
      </c>
      <c r="E452" s="21">
        <f t="shared" si="21"/>
        <v>44004</v>
      </c>
      <c r="F452" s="21">
        <f t="shared" si="22"/>
        <v>43990</v>
      </c>
      <c r="G452">
        <v>442</v>
      </c>
    </row>
    <row r="453" spans="2:7" x14ac:dyDescent="0.35">
      <c r="B453" t="s">
        <v>73</v>
      </c>
      <c r="C453" t="s">
        <v>196</v>
      </c>
      <c r="D453" s="21">
        <f t="shared" si="23"/>
        <v>44004</v>
      </c>
      <c r="E453" s="21">
        <f t="shared" si="21"/>
        <v>44011</v>
      </c>
      <c r="F453" s="21">
        <f t="shared" si="22"/>
        <v>43997</v>
      </c>
      <c r="G453">
        <v>443</v>
      </c>
    </row>
    <row r="454" spans="2:7" x14ac:dyDescent="0.35">
      <c r="B454" t="s">
        <v>73</v>
      </c>
      <c r="C454" t="s">
        <v>196</v>
      </c>
      <c r="D454" s="21">
        <f t="shared" si="23"/>
        <v>44011</v>
      </c>
      <c r="E454" s="21">
        <f t="shared" si="21"/>
        <v>44018</v>
      </c>
      <c r="F454" s="21">
        <f t="shared" si="22"/>
        <v>44004</v>
      </c>
      <c r="G454">
        <v>444</v>
      </c>
    </row>
    <row r="455" spans="2:7" x14ac:dyDescent="0.35">
      <c r="B455" t="s">
        <v>73</v>
      </c>
      <c r="C455" t="s">
        <v>196</v>
      </c>
      <c r="D455" s="21">
        <f t="shared" si="23"/>
        <v>44018</v>
      </c>
      <c r="E455" s="21">
        <f t="shared" si="21"/>
        <v>44025</v>
      </c>
      <c r="F455" s="21">
        <f t="shared" si="22"/>
        <v>44011</v>
      </c>
      <c r="G455">
        <v>445</v>
      </c>
    </row>
    <row r="456" spans="2:7" x14ac:dyDescent="0.35">
      <c r="B456" t="s">
        <v>73</v>
      </c>
      <c r="C456" t="s">
        <v>196</v>
      </c>
      <c r="D456" s="21">
        <f t="shared" si="23"/>
        <v>44025</v>
      </c>
      <c r="E456" s="21">
        <f t="shared" si="21"/>
        <v>44032</v>
      </c>
      <c r="F456" s="21">
        <f t="shared" si="22"/>
        <v>44018</v>
      </c>
      <c r="G456">
        <v>446</v>
      </c>
    </row>
    <row r="457" spans="2:7" x14ac:dyDescent="0.35">
      <c r="B457" t="s">
        <v>73</v>
      </c>
      <c r="C457" t="s">
        <v>196</v>
      </c>
      <c r="D457" s="21">
        <f t="shared" si="23"/>
        <v>44032</v>
      </c>
      <c r="E457" s="21">
        <f t="shared" si="21"/>
        <v>44039</v>
      </c>
      <c r="F457" s="21">
        <f t="shared" si="22"/>
        <v>44025</v>
      </c>
      <c r="G457">
        <v>447</v>
      </c>
    </row>
    <row r="458" spans="2:7" x14ac:dyDescent="0.35">
      <c r="B458" t="s">
        <v>73</v>
      </c>
      <c r="C458" t="s">
        <v>196</v>
      </c>
      <c r="D458" s="21">
        <f t="shared" si="23"/>
        <v>44039</v>
      </c>
      <c r="E458" s="21">
        <f t="shared" si="21"/>
        <v>44046</v>
      </c>
      <c r="F458" s="21">
        <f t="shared" si="22"/>
        <v>44032</v>
      </c>
      <c r="G458">
        <v>448</v>
      </c>
    </row>
    <row r="459" spans="2:7" x14ac:dyDescent="0.35">
      <c r="B459" t="s">
        <v>73</v>
      </c>
      <c r="C459" t="s">
        <v>196</v>
      </c>
      <c r="D459" s="21">
        <f t="shared" si="23"/>
        <v>44046</v>
      </c>
      <c r="E459" s="21">
        <f t="shared" si="21"/>
        <v>44053</v>
      </c>
      <c r="F459" s="21">
        <f t="shared" si="22"/>
        <v>44039</v>
      </c>
      <c r="G459">
        <v>449</v>
      </c>
    </row>
    <row r="460" spans="2:7" x14ac:dyDescent="0.35">
      <c r="B460" t="s">
        <v>73</v>
      </c>
      <c r="C460" t="s">
        <v>196</v>
      </c>
      <c r="D460" s="21">
        <f t="shared" si="23"/>
        <v>44053</v>
      </c>
      <c r="E460" s="21">
        <f t="shared" ref="E460:E463" si="24">D460+7</f>
        <v>44060</v>
      </c>
      <c r="F460" s="21">
        <f t="shared" ref="F460:F463" si="25">D460-7</f>
        <v>44046</v>
      </c>
      <c r="G460">
        <v>450</v>
      </c>
    </row>
    <row r="461" spans="2:7" x14ac:dyDescent="0.35">
      <c r="B461" t="s">
        <v>73</v>
      </c>
      <c r="C461" t="s">
        <v>196</v>
      </c>
      <c r="D461" s="21">
        <f t="shared" si="23"/>
        <v>44060</v>
      </c>
      <c r="E461" s="21">
        <f t="shared" si="24"/>
        <v>44067</v>
      </c>
      <c r="F461" s="21">
        <f t="shared" si="25"/>
        <v>44053</v>
      </c>
      <c r="G461">
        <v>451</v>
      </c>
    </row>
    <row r="462" spans="2:7" x14ac:dyDescent="0.35">
      <c r="B462" t="s">
        <v>73</v>
      </c>
      <c r="C462" t="s">
        <v>196</v>
      </c>
      <c r="D462" s="21">
        <f t="shared" si="23"/>
        <v>44067</v>
      </c>
      <c r="E462" s="21">
        <f t="shared" si="24"/>
        <v>44074</v>
      </c>
      <c r="F462" s="21">
        <f t="shared" si="25"/>
        <v>44060</v>
      </c>
      <c r="G462">
        <v>452</v>
      </c>
    </row>
    <row r="463" spans="2:7" x14ac:dyDescent="0.35">
      <c r="B463" t="s">
        <v>73</v>
      </c>
      <c r="C463" t="s">
        <v>196</v>
      </c>
      <c r="D463" s="21">
        <f t="shared" si="23"/>
        <v>44074</v>
      </c>
      <c r="E463" s="21">
        <f t="shared" si="24"/>
        <v>44081</v>
      </c>
      <c r="F463" s="21">
        <f t="shared" si="25"/>
        <v>44067</v>
      </c>
      <c r="G463">
        <v>453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6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/>
    </sheetView>
  </sheetViews>
  <sheetFormatPr defaultColWidth="19.26953125" defaultRowHeight="14.5" x14ac:dyDescent="0.35"/>
  <cols>
    <col min="4" max="4" width="29.81640625" customWidth="1"/>
    <col min="5" max="5" width="30.26953125" customWidth="1"/>
    <col min="9" max="9" width="18.81640625" bestFit="1" customWidth="1"/>
  </cols>
  <sheetData>
    <row r="1" spans="1:9" x14ac:dyDescent="0.35">
      <c r="A1" s="1" t="s">
        <v>2</v>
      </c>
      <c r="B1" s="2" t="s">
        <v>49</v>
      </c>
      <c r="C1" s="2" t="s">
        <v>50</v>
      </c>
      <c r="D1" s="2" t="s">
        <v>3</v>
      </c>
      <c r="E1" s="2" t="s">
        <v>58</v>
      </c>
      <c r="F1" s="2" t="s">
        <v>220</v>
      </c>
      <c r="G1" s="2" t="s">
        <v>221</v>
      </c>
      <c r="H1" s="2" t="s">
        <v>53</v>
      </c>
      <c r="I1" s="2" t="s">
        <v>63</v>
      </c>
    </row>
    <row r="2" spans="1:9" ht="156" x14ac:dyDescent="0.35">
      <c r="A2" s="1" t="s">
        <v>3</v>
      </c>
      <c r="B2" s="13" t="s">
        <v>65</v>
      </c>
      <c r="C2" s="13" t="s">
        <v>79</v>
      </c>
      <c r="D2" s="13" t="s">
        <v>93</v>
      </c>
      <c r="E2" s="13" t="s">
        <v>231</v>
      </c>
      <c r="F2" s="13" t="s">
        <v>59</v>
      </c>
      <c r="G2" s="13" t="s">
        <v>60</v>
      </c>
      <c r="H2" s="13" t="s">
        <v>75</v>
      </c>
      <c r="I2" s="13" t="s">
        <v>92</v>
      </c>
    </row>
    <row r="3" spans="1:9" x14ac:dyDescent="0.35">
      <c r="A3" s="2" t="s">
        <v>4</v>
      </c>
      <c r="B3" s="2" t="s">
        <v>14</v>
      </c>
      <c r="C3" s="2" t="s">
        <v>15</v>
      </c>
      <c r="D3" s="2" t="s">
        <v>70</v>
      </c>
      <c r="E3" s="2" t="s">
        <v>12</v>
      </c>
      <c r="F3" s="2" t="s">
        <v>12</v>
      </c>
      <c r="G3" s="2" t="s">
        <v>12</v>
      </c>
      <c r="H3" s="2" t="s">
        <v>26</v>
      </c>
      <c r="I3" s="2" t="s">
        <v>44</v>
      </c>
    </row>
    <row r="4" spans="1:9" x14ac:dyDescent="0.35">
      <c r="A4" s="2" t="s">
        <v>8</v>
      </c>
      <c r="B4" s="2" t="s">
        <v>11</v>
      </c>
      <c r="C4" s="2" t="s">
        <v>11</v>
      </c>
      <c r="D4" s="2"/>
      <c r="E4" s="2" t="s">
        <v>11</v>
      </c>
      <c r="F4" s="2" t="s">
        <v>11</v>
      </c>
      <c r="G4" s="2" t="s">
        <v>11</v>
      </c>
      <c r="H4" s="2" t="s">
        <v>11</v>
      </c>
    </row>
    <row r="5" spans="1:9" x14ac:dyDescent="0.35">
      <c r="A5" s="2" t="s">
        <v>16</v>
      </c>
      <c r="B5" s="2" t="s">
        <v>11</v>
      </c>
      <c r="C5" s="2" t="s">
        <v>11</v>
      </c>
      <c r="D5" s="2"/>
      <c r="E5" s="2" t="s">
        <v>11</v>
      </c>
      <c r="F5" s="2" t="s">
        <v>11</v>
      </c>
      <c r="G5" s="2" t="s">
        <v>11</v>
      </c>
      <c r="H5" s="2" t="s">
        <v>11</v>
      </c>
    </row>
    <row r="6" spans="1:9" x14ac:dyDescent="0.35">
      <c r="A6" s="2" t="s">
        <v>5</v>
      </c>
      <c r="B6" s="2"/>
      <c r="C6" s="2"/>
      <c r="D6" s="2"/>
      <c r="E6" s="2"/>
      <c r="F6" s="2"/>
      <c r="G6" s="2"/>
      <c r="H6" s="2"/>
    </row>
    <row r="7" spans="1:9" x14ac:dyDescent="0.35">
      <c r="A7" s="2" t="s">
        <v>6</v>
      </c>
      <c r="B7" s="2"/>
      <c r="C7" s="2"/>
      <c r="D7" s="2"/>
      <c r="E7" s="2"/>
      <c r="F7" s="2"/>
      <c r="G7" s="2"/>
      <c r="H7" s="2"/>
    </row>
    <row r="8" spans="1:9" x14ac:dyDescent="0.35">
      <c r="A8" s="2" t="s">
        <v>7</v>
      </c>
      <c r="B8" s="2"/>
      <c r="C8" s="2"/>
      <c r="D8" s="2"/>
      <c r="E8" s="2"/>
      <c r="F8" s="2"/>
      <c r="G8" s="2"/>
      <c r="H8" s="2"/>
    </row>
    <row r="9" spans="1:9" x14ac:dyDescent="0.35">
      <c r="A9" s="2" t="s">
        <v>48</v>
      </c>
      <c r="I9" s="2"/>
    </row>
    <row r="10" spans="1:9" s="8" customFormat="1" x14ac:dyDescent="0.35">
      <c r="A10" s="7" t="s">
        <v>1</v>
      </c>
      <c r="B10" s="16" t="s">
        <v>17</v>
      </c>
      <c r="C10" s="16" t="s">
        <v>0</v>
      </c>
      <c r="D10" s="16" t="s">
        <v>19</v>
      </c>
      <c r="E10" s="16" t="s">
        <v>29</v>
      </c>
      <c r="F10" s="16" t="s">
        <v>35</v>
      </c>
      <c r="G10" s="16" t="s">
        <v>36</v>
      </c>
      <c r="H10" s="16" t="s">
        <v>23</v>
      </c>
      <c r="I10" s="16" t="s">
        <v>34</v>
      </c>
    </row>
    <row r="11" spans="1:9" x14ac:dyDescent="0.35">
      <c r="B11" t="s">
        <v>73</v>
      </c>
      <c r="C11" t="s">
        <v>196</v>
      </c>
      <c r="D11" t="s">
        <v>94</v>
      </c>
      <c r="E11">
        <v>1</v>
      </c>
      <c r="F11">
        <v>5</v>
      </c>
      <c r="G11">
        <v>2</v>
      </c>
      <c r="H11" t="s">
        <v>81</v>
      </c>
    </row>
    <row r="12" spans="1:9" x14ac:dyDescent="0.35">
      <c r="B12" t="s">
        <v>73</v>
      </c>
      <c r="C12" t="s">
        <v>196</v>
      </c>
      <c r="D12" t="s">
        <v>94</v>
      </c>
      <c r="E12">
        <v>1</v>
      </c>
      <c r="F12">
        <v>5</v>
      </c>
      <c r="G12">
        <v>2</v>
      </c>
      <c r="H12" t="s">
        <v>83</v>
      </c>
    </row>
    <row r="13" spans="1:9" x14ac:dyDescent="0.35">
      <c r="B13" t="s">
        <v>73</v>
      </c>
      <c r="C13" t="s">
        <v>196</v>
      </c>
      <c r="D13" t="s">
        <v>94</v>
      </c>
      <c r="E13">
        <v>1</v>
      </c>
      <c r="F13">
        <v>5</v>
      </c>
      <c r="G13">
        <v>2</v>
      </c>
      <c r="H13" t="s">
        <v>85</v>
      </c>
    </row>
    <row r="14" spans="1:9" x14ac:dyDescent="0.35">
      <c r="B14" t="s">
        <v>200</v>
      </c>
      <c r="C14" t="s">
        <v>196</v>
      </c>
      <c r="D14" t="s">
        <v>201</v>
      </c>
      <c r="E14">
        <v>1</v>
      </c>
      <c r="F14">
        <v>5</v>
      </c>
      <c r="G14">
        <v>2</v>
      </c>
      <c r="H14" t="s">
        <v>82</v>
      </c>
    </row>
    <row r="15" spans="1:9" x14ac:dyDescent="0.35">
      <c r="B15" t="s">
        <v>200</v>
      </c>
      <c r="C15" t="s">
        <v>196</v>
      </c>
      <c r="D15" t="s">
        <v>201</v>
      </c>
      <c r="E15">
        <v>1</v>
      </c>
      <c r="F15">
        <v>5</v>
      </c>
      <c r="G15">
        <v>2</v>
      </c>
      <c r="H15" t="s">
        <v>84</v>
      </c>
    </row>
    <row r="16" spans="1:9" x14ac:dyDescent="0.35">
      <c r="B16" t="s">
        <v>194</v>
      </c>
      <c r="C16" t="s">
        <v>196</v>
      </c>
      <c r="D16" t="s">
        <v>198</v>
      </c>
      <c r="E16">
        <v>1</v>
      </c>
      <c r="F16">
        <v>6</v>
      </c>
      <c r="G16">
        <v>1</v>
      </c>
      <c r="H16" t="s">
        <v>202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17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2" sqref="B2"/>
    </sheetView>
  </sheetViews>
  <sheetFormatPr defaultColWidth="19.1796875" defaultRowHeight="14.5" x14ac:dyDescent="0.35"/>
  <cols>
    <col min="1" max="1" width="19.7265625" bestFit="1" customWidth="1"/>
    <col min="2" max="2" width="14.453125" bestFit="1" customWidth="1"/>
    <col min="3" max="3" width="17.54296875" bestFit="1" customWidth="1"/>
    <col min="4" max="4" width="17.453125" style="20" bestFit="1" customWidth="1"/>
    <col min="5" max="5" width="21" bestFit="1" customWidth="1"/>
    <col min="6" max="6" width="12.453125" bestFit="1" customWidth="1"/>
    <col min="7" max="7" width="16.1796875" style="20" bestFit="1" customWidth="1"/>
    <col min="8" max="8" width="17.1796875" style="20" customWidth="1"/>
    <col min="9" max="9" width="18.81640625" bestFit="1" customWidth="1"/>
  </cols>
  <sheetData>
    <row r="1" spans="1:9" x14ac:dyDescent="0.35">
      <c r="A1" s="1" t="s">
        <v>2</v>
      </c>
      <c r="B1" s="2" t="s">
        <v>49</v>
      </c>
      <c r="C1" s="2" t="s">
        <v>50</v>
      </c>
      <c r="D1" s="17" t="s">
        <v>61</v>
      </c>
      <c r="E1" s="2" t="s">
        <v>62</v>
      </c>
      <c r="F1" s="2" t="s">
        <v>40</v>
      </c>
      <c r="G1" s="2" t="s">
        <v>218</v>
      </c>
      <c r="H1" s="2" t="s">
        <v>219</v>
      </c>
      <c r="I1" s="2" t="s">
        <v>63</v>
      </c>
    </row>
    <row r="2" spans="1:9" ht="78" x14ac:dyDescent="0.35">
      <c r="A2" s="1" t="s">
        <v>3</v>
      </c>
      <c r="B2" s="13" t="s">
        <v>65</v>
      </c>
      <c r="C2" s="13" t="s">
        <v>79</v>
      </c>
      <c r="D2" s="18" t="s">
        <v>95</v>
      </c>
      <c r="E2" s="13" t="s">
        <v>96</v>
      </c>
      <c r="F2" s="13" t="s">
        <v>97</v>
      </c>
      <c r="G2" s="18" t="s">
        <v>98</v>
      </c>
      <c r="H2" s="18" t="s">
        <v>99</v>
      </c>
      <c r="I2" s="13" t="s">
        <v>92</v>
      </c>
    </row>
    <row r="3" spans="1:9" x14ac:dyDescent="0.35">
      <c r="A3" s="2" t="s">
        <v>4</v>
      </c>
      <c r="B3" s="2" t="s">
        <v>41</v>
      </c>
      <c r="C3" s="2" t="s">
        <v>42</v>
      </c>
      <c r="D3" s="17" t="s">
        <v>69</v>
      </c>
      <c r="E3" s="2" t="s">
        <v>12</v>
      </c>
      <c r="F3" s="2" t="s">
        <v>43</v>
      </c>
      <c r="G3" s="17" t="s">
        <v>69</v>
      </c>
      <c r="H3" s="17" t="s">
        <v>46</v>
      </c>
      <c r="I3" s="2" t="s">
        <v>71</v>
      </c>
    </row>
    <row r="4" spans="1:9" x14ac:dyDescent="0.35">
      <c r="A4" s="2" t="s">
        <v>8</v>
      </c>
      <c r="B4" s="2" t="s">
        <v>11</v>
      </c>
      <c r="C4" s="2" t="s">
        <v>11</v>
      </c>
      <c r="D4" s="17" t="s">
        <v>11</v>
      </c>
      <c r="E4" s="2" t="s">
        <v>11</v>
      </c>
      <c r="F4" s="2"/>
      <c r="G4" s="17" t="s">
        <v>11</v>
      </c>
      <c r="H4" s="17" t="s">
        <v>11</v>
      </c>
    </row>
    <row r="5" spans="1:9" x14ac:dyDescent="0.35">
      <c r="A5" s="2" t="s">
        <v>16</v>
      </c>
      <c r="B5" s="2" t="s">
        <v>11</v>
      </c>
      <c r="C5" s="10" t="s">
        <v>11</v>
      </c>
      <c r="D5" s="17" t="s">
        <v>11</v>
      </c>
      <c r="E5" s="10" t="s">
        <v>11</v>
      </c>
      <c r="F5" s="2"/>
      <c r="G5" s="17" t="s">
        <v>11</v>
      </c>
      <c r="H5" s="17" t="s">
        <v>11</v>
      </c>
    </row>
    <row r="6" spans="1:9" x14ac:dyDescent="0.35">
      <c r="A6" s="2" t="s">
        <v>5</v>
      </c>
      <c r="B6" s="2"/>
      <c r="C6" s="2"/>
      <c r="D6" s="17"/>
      <c r="E6" s="2"/>
      <c r="F6" s="2"/>
      <c r="G6" s="17"/>
      <c r="H6" s="17"/>
    </row>
    <row r="7" spans="1:9" x14ac:dyDescent="0.35">
      <c r="A7" s="2" t="s">
        <v>6</v>
      </c>
      <c r="B7" s="2"/>
      <c r="C7" s="2"/>
      <c r="D7" s="17"/>
      <c r="E7" s="2"/>
      <c r="F7" s="2"/>
      <c r="G7" s="17"/>
      <c r="H7" s="17"/>
    </row>
    <row r="8" spans="1:9" x14ac:dyDescent="0.35">
      <c r="A8" s="2" t="s">
        <v>7</v>
      </c>
      <c r="B8" s="2"/>
      <c r="C8" s="10"/>
      <c r="D8" s="17"/>
      <c r="E8" s="10"/>
      <c r="F8" s="2"/>
      <c r="G8" s="17"/>
      <c r="H8" s="17"/>
    </row>
    <row r="9" spans="1:9" x14ac:dyDescent="0.35">
      <c r="A9" s="2" t="s">
        <v>48</v>
      </c>
      <c r="I9" s="2"/>
    </row>
    <row r="10" spans="1:9" s="8" customFormat="1" x14ac:dyDescent="0.35">
      <c r="A10" s="7" t="s">
        <v>1</v>
      </c>
      <c r="B10" s="16" t="s">
        <v>17</v>
      </c>
      <c r="C10" s="16" t="s">
        <v>0</v>
      </c>
      <c r="D10" s="16" t="s">
        <v>37</v>
      </c>
      <c r="E10" s="16" t="s">
        <v>38</v>
      </c>
      <c r="F10" s="16" t="s">
        <v>39</v>
      </c>
      <c r="G10" s="16" t="s">
        <v>27</v>
      </c>
      <c r="H10" s="16" t="s">
        <v>28</v>
      </c>
      <c r="I10" s="16" t="s">
        <v>34</v>
      </c>
    </row>
    <row r="11" spans="1:9" x14ac:dyDescent="0.35">
      <c r="B11" t="s">
        <v>73</v>
      </c>
      <c r="C11" t="s">
        <v>196</v>
      </c>
      <c r="D11" s="21">
        <v>40909</v>
      </c>
      <c r="E11">
        <v>1</v>
      </c>
      <c r="F11" s="12" t="s">
        <v>100</v>
      </c>
      <c r="G11" s="21">
        <f>D11+31</f>
        <v>40940</v>
      </c>
      <c r="H11" s="21">
        <f>D11-31</f>
        <v>40878</v>
      </c>
    </row>
    <row r="12" spans="1:9" x14ac:dyDescent="0.35">
      <c r="B12" t="s">
        <v>73</v>
      </c>
      <c r="C12" t="s">
        <v>196</v>
      </c>
      <c r="D12" s="21">
        <f>D11+31</f>
        <v>40940</v>
      </c>
      <c r="E12">
        <v>2</v>
      </c>
      <c r="F12" s="12" t="s">
        <v>101</v>
      </c>
      <c r="G12" s="21">
        <f>D12+29</f>
        <v>40969</v>
      </c>
      <c r="H12" s="21">
        <f>D12-31</f>
        <v>40909</v>
      </c>
    </row>
    <row r="13" spans="1:9" x14ac:dyDescent="0.35">
      <c r="B13" t="s">
        <v>73</v>
      </c>
      <c r="C13" t="s">
        <v>196</v>
      </c>
      <c r="D13" s="21">
        <f>D12+29</f>
        <v>40969</v>
      </c>
      <c r="E13">
        <v>3</v>
      </c>
      <c r="F13" s="12" t="s">
        <v>102</v>
      </c>
      <c r="G13" s="21">
        <f>D13+31</f>
        <v>41000</v>
      </c>
      <c r="H13" s="21">
        <f>D13-28</f>
        <v>40941</v>
      </c>
    </row>
    <row r="14" spans="1:9" x14ac:dyDescent="0.35">
      <c r="B14" t="s">
        <v>73</v>
      </c>
      <c r="C14" t="s">
        <v>196</v>
      </c>
      <c r="D14" s="21">
        <f>D13+31</f>
        <v>41000</v>
      </c>
      <c r="E14">
        <v>4</v>
      </c>
      <c r="F14" s="12" t="s">
        <v>103</v>
      </c>
      <c r="G14" s="21">
        <f>D14+30</f>
        <v>41030</v>
      </c>
      <c r="H14" s="21">
        <f>D14-31</f>
        <v>40969</v>
      </c>
    </row>
    <row r="15" spans="1:9" x14ac:dyDescent="0.35">
      <c r="B15" t="s">
        <v>73</v>
      </c>
      <c r="C15" t="s">
        <v>196</v>
      </c>
      <c r="D15" s="21">
        <f>D14+30</f>
        <v>41030</v>
      </c>
      <c r="E15">
        <v>5</v>
      </c>
      <c r="F15" s="12" t="s">
        <v>104</v>
      </c>
      <c r="G15" s="21">
        <f t="shared" ref="G15:G27" si="0">D15+31</f>
        <v>41061</v>
      </c>
      <c r="H15" s="21">
        <f>D15-30</f>
        <v>41000</v>
      </c>
    </row>
    <row r="16" spans="1:9" x14ac:dyDescent="0.35">
      <c r="B16" t="s">
        <v>73</v>
      </c>
      <c r="C16" t="s">
        <v>196</v>
      </c>
      <c r="D16" s="21">
        <f>D15+31</f>
        <v>41061</v>
      </c>
      <c r="E16">
        <v>6</v>
      </c>
      <c r="F16" s="12" t="s">
        <v>105</v>
      </c>
      <c r="G16" s="21">
        <f t="shared" ref="G16:G28" si="1">D16+30</f>
        <v>41091</v>
      </c>
      <c r="H16" s="21">
        <f>D16-31</f>
        <v>41030</v>
      </c>
    </row>
    <row r="17" spans="2:8" x14ac:dyDescent="0.35">
      <c r="B17" t="s">
        <v>73</v>
      </c>
      <c r="C17" t="s">
        <v>196</v>
      </c>
      <c r="D17" s="21">
        <f>D16+30</f>
        <v>41091</v>
      </c>
      <c r="E17">
        <v>7</v>
      </c>
      <c r="F17" s="12" t="s">
        <v>106</v>
      </c>
      <c r="G17" s="21">
        <f t="shared" ref="G17:G29" si="2">D17+31</f>
        <v>41122</v>
      </c>
      <c r="H17" s="21">
        <f>D17-30</f>
        <v>41061</v>
      </c>
    </row>
    <row r="18" spans="2:8" x14ac:dyDescent="0.35">
      <c r="B18" t="s">
        <v>73</v>
      </c>
      <c r="C18" t="s">
        <v>196</v>
      </c>
      <c r="D18" s="21">
        <f>D17+31</f>
        <v>41122</v>
      </c>
      <c r="E18">
        <v>8</v>
      </c>
      <c r="F18" s="12" t="s">
        <v>107</v>
      </c>
      <c r="G18" s="21">
        <f>D18+31</f>
        <v>41153</v>
      </c>
      <c r="H18" s="21">
        <f>D18-31</f>
        <v>41091</v>
      </c>
    </row>
    <row r="19" spans="2:8" x14ac:dyDescent="0.35">
      <c r="B19" t="s">
        <v>73</v>
      </c>
      <c r="C19" t="s">
        <v>196</v>
      </c>
      <c r="D19" s="21">
        <f>D18+31</f>
        <v>41153</v>
      </c>
      <c r="E19">
        <v>9</v>
      </c>
      <c r="F19" s="12" t="s">
        <v>108</v>
      </c>
      <c r="G19" s="21">
        <f>D19+30</f>
        <v>41183</v>
      </c>
      <c r="H19" s="21">
        <f>D19-31</f>
        <v>41122</v>
      </c>
    </row>
    <row r="20" spans="2:8" x14ac:dyDescent="0.35">
      <c r="B20" t="s">
        <v>73</v>
      </c>
      <c r="C20" t="s">
        <v>196</v>
      </c>
      <c r="D20" s="21">
        <f>D19+30</f>
        <v>41183</v>
      </c>
      <c r="E20">
        <v>10</v>
      </c>
      <c r="F20" s="12" t="s">
        <v>109</v>
      </c>
      <c r="G20" s="21">
        <f>D20+31</f>
        <v>41214</v>
      </c>
      <c r="H20" s="21">
        <f>D20-30</f>
        <v>41153</v>
      </c>
    </row>
    <row r="21" spans="2:8" x14ac:dyDescent="0.35">
      <c r="B21" t="s">
        <v>73</v>
      </c>
      <c r="C21" t="s">
        <v>196</v>
      </c>
      <c r="D21" s="21">
        <f>D20+31</f>
        <v>41214</v>
      </c>
      <c r="E21">
        <v>11</v>
      </c>
      <c r="F21" s="12" t="s">
        <v>110</v>
      </c>
      <c r="G21" s="21">
        <f>D21+30</f>
        <v>41244</v>
      </c>
      <c r="H21" s="21">
        <f>D21-31</f>
        <v>41183</v>
      </c>
    </row>
    <row r="22" spans="2:8" x14ac:dyDescent="0.35">
      <c r="B22" t="s">
        <v>73</v>
      </c>
      <c r="C22" t="s">
        <v>196</v>
      </c>
      <c r="D22" s="21">
        <f>D21+30</f>
        <v>41244</v>
      </c>
      <c r="E22">
        <v>12</v>
      </c>
      <c r="F22" s="12" t="s">
        <v>111</v>
      </c>
      <c r="G22" s="21">
        <f>D22+31</f>
        <v>41275</v>
      </c>
      <c r="H22" s="21">
        <f>D22-30</f>
        <v>41214</v>
      </c>
    </row>
    <row r="23" spans="2:8" x14ac:dyDescent="0.35">
      <c r="B23" t="s">
        <v>73</v>
      </c>
      <c r="C23" t="s">
        <v>196</v>
      </c>
      <c r="D23" s="21">
        <f>D22+31</f>
        <v>41275</v>
      </c>
      <c r="E23">
        <v>13</v>
      </c>
      <c r="F23" s="12" t="s">
        <v>112</v>
      </c>
      <c r="G23" s="21">
        <f>D23+31</f>
        <v>41306</v>
      </c>
      <c r="H23" s="21">
        <f>D23-31</f>
        <v>41244</v>
      </c>
    </row>
    <row r="24" spans="2:8" x14ac:dyDescent="0.35">
      <c r="B24" t="s">
        <v>73</v>
      </c>
      <c r="C24" t="s">
        <v>196</v>
      </c>
      <c r="D24" s="21">
        <f>D23+31</f>
        <v>41306</v>
      </c>
      <c r="E24">
        <v>14</v>
      </c>
      <c r="F24" s="12" t="s">
        <v>113</v>
      </c>
      <c r="G24" s="21">
        <f>D24+28</f>
        <v>41334</v>
      </c>
      <c r="H24" s="21">
        <f>D24-31</f>
        <v>41275</v>
      </c>
    </row>
    <row r="25" spans="2:8" x14ac:dyDescent="0.35">
      <c r="B25" t="s">
        <v>73</v>
      </c>
      <c r="C25" t="s">
        <v>196</v>
      </c>
      <c r="D25" s="21">
        <f>D24+28</f>
        <v>41334</v>
      </c>
      <c r="E25">
        <v>15</v>
      </c>
      <c r="F25" s="12" t="s">
        <v>114</v>
      </c>
      <c r="G25" s="21">
        <f>D25+31</f>
        <v>41365</v>
      </c>
      <c r="H25" s="21">
        <f>D25-28</f>
        <v>41306</v>
      </c>
    </row>
    <row r="26" spans="2:8" x14ac:dyDescent="0.35">
      <c r="B26" t="s">
        <v>73</v>
      </c>
      <c r="C26" t="s">
        <v>196</v>
      </c>
      <c r="D26" s="21">
        <f>D25+31</f>
        <v>41365</v>
      </c>
      <c r="E26">
        <v>16</v>
      </c>
      <c r="F26" s="12" t="s">
        <v>115</v>
      </c>
      <c r="G26" s="21">
        <f>D26+30</f>
        <v>41395</v>
      </c>
      <c r="H26" s="21">
        <f>D26-31</f>
        <v>41334</v>
      </c>
    </row>
    <row r="27" spans="2:8" x14ac:dyDescent="0.35">
      <c r="B27" t="s">
        <v>73</v>
      </c>
      <c r="C27" t="s">
        <v>196</v>
      </c>
      <c r="D27" s="21">
        <f>D26+30</f>
        <v>41395</v>
      </c>
      <c r="E27">
        <v>17</v>
      </c>
      <c r="F27" s="12" t="s">
        <v>116</v>
      </c>
      <c r="G27" s="21">
        <f t="shared" si="0"/>
        <v>41426</v>
      </c>
      <c r="H27" s="21">
        <f>D27-30</f>
        <v>41365</v>
      </c>
    </row>
    <row r="28" spans="2:8" x14ac:dyDescent="0.35">
      <c r="B28" t="s">
        <v>73</v>
      </c>
      <c r="C28" t="s">
        <v>196</v>
      </c>
      <c r="D28" s="21">
        <f>D27+31</f>
        <v>41426</v>
      </c>
      <c r="E28">
        <v>18</v>
      </c>
      <c r="F28" s="12" t="s">
        <v>117</v>
      </c>
      <c r="G28" s="21">
        <f t="shared" si="1"/>
        <v>41456</v>
      </c>
      <c r="H28" s="21">
        <f>D28-31</f>
        <v>41395</v>
      </c>
    </row>
    <row r="29" spans="2:8" x14ac:dyDescent="0.35">
      <c r="B29" t="s">
        <v>73</v>
      </c>
      <c r="C29" t="s">
        <v>196</v>
      </c>
      <c r="D29" s="21">
        <f>D28+30</f>
        <v>41456</v>
      </c>
      <c r="E29">
        <v>19</v>
      </c>
      <c r="F29" s="12" t="s">
        <v>118</v>
      </c>
      <c r="G29" s="21">
        <f t="shared" si="2"/>
        <v>41487</v>
      </c>
      <c r="H29" s="21">
        <f>D29-30</f>
        <v>41426</v>
      </c>
    </row>
    <row r="30" spans="2:8" x14ac:dyDescent="0.35">
      <c r="B30" t="s">
        <v>73</v>
      </c>
      <c r="C30" t="s">
        <v>196</v>
      </c>
      <c r="D30" s="21">
        <f>D29+31</f>
        <v>41487</v>
      </c>
      <c r="E30">
        <v>20</v>
      </c>
      <c r="F30" s="12" t="s">
        <v>119</v>
      </c>
      <c r="G30" s="21">
        <f>D30+31</f>
        <v>41518</v>
      </c>
      <c r="H30" s="21">
        <f>D30-31</f>
        <v>41456</v>
      </c>
    </row>
    <row r="31" spans="2:8" x14ac:dyDescent="0.35">
      <c r="B31" t="s">
        <v>73</v>
      </c>
      <c r="C31" t="s">
        <v>196</v>
      </c>
      <c r="D31" s="21">
        <f>D30+31</f>
        <v>41518</v>
      </c>
      <c r="E31">
        <v>21</v>
      </c>
      <c r="F31" s="12" t="s">
        <v>120</v>
      </c>
      <c r="G31" s="21">
        <f>D31+30</f>
        <v>41548</v>
      </c>
      <c r="H31" s="21">
        <f>D31-31</f>
        <v>41487</v>
      </c>
    </row>
    <row r="32" spans="2:8" x14ac:dyDescent="0.35">
      <c r="B32" t="s">
        <v>73</v>
      </c>
      <c r="C32" t="s">
        <v>196</v>
      </c>
      <c r="D32" s="21">
        <f>D31+30</f>
        <v>41548</v>
      </c>
      <c r="E32">
        <v>22</v>
      </c>
      <c r="F32" s="12" t="s">
        <v>121</v>
      </c>
      <c r="G32" s="21">
        <f>D32+31</f>
        <v>41579</v>
      </c>
      <c r="H32" s="21">
        <f>D32-30</f>
        <v>41518</v>
      </c>
    </row>
    <row r="33" spans="2:8" x14ac:dyDescent="0.35">
      <c r="B33" t="s">
        <v>73</v>
      </c>
      <c r="C33" t="s">
        <v>196</v>
      </c>
      <c r="D33" s="21">
        <f>D32+31</f>
        <v>41579</v>
      </c>
      <c r="E33">
        <v>23</v>
      </c>
      <c r="F33" s="12" t="s">
        <v>110</v>
      </c>
      <c r="G33" s="21">
        <f>D33+30</f>
        <v>41609</v>
      </c>
      <c r="H33" s="21">
        <f>D33-31</f>
        <v>41548</v>
      </c>
    </row>
    <row r="34" spans="2:8" x14ac:dyDescent="0.35">
      <c r="B34" t="s">
        <v>73</v>
      </c>
      <c r="C34" t="s">
        <v>196</v>
      </c>
      <c r="D34" s="21">
        <f>D33+30</f>
        <v>41609</v>
      </c>
      <c r="E34">
        <v>24</v>
      </c>
      <c r="F34" s="12" t="s">
        <v>111</v>
      </c>
      <c r="G34" s="21">
        <f>D34+31</f>
        <v>41640</v>
      </c>
      <c r="H34" s="21">
        <f>D34-30</f>
        <v>41579</v>
      </c>
    </row>
    <row r="35" spans="2:8" x14ac:dyDescent="0.35">
      <c r="B35" t="s">
        <v>73</v>
      </c>
      <c r="C35" t="s">
        <v>196</v>
      </c>
      <c r="D35" s="21">
        <f>D34+31</f>
        <v>41640</v>
      </c>
      <c r="E35">
        <v>25</v>
      </c>
      <c r="F35" s="12" t="s">
        <v>122</v>
      </c>
      <c r="G35" s="21">
        <f>D35+31</f>
        <v>41671</v>
      </c>
      <c r="H35" s="21">
        <f>D35-31</f>
        <v>41609</v>
      </c>
    </row>
    <row r="36" spans="2:8" x14ac:dyDescent="0.35">
      <c r="B36" t="s">
        <v>73</v>
      </c>
      <c r="C36" t="s">
        <v>196</v>
      </c>
      <c r="D36" s="21">
        <f>D35+31</f>
        <v>41671</v>
      </c>
      <c r="E36">
        <v>26</v>
      </c>
      <c r="F36" s="12" t="s">
        <v>123</v>
      </c>
      <c r="G36" s="21">
        <f>D36+28</f>
        <v>41699</v>
      </c>
      <c r="H36" s="21">
        <f>D36-31</f>
        <v>41640</v>
      </c>
    </row>
    <row r="37" spans="2:8" x14ac:dyDescent="0.35">
      <c r="B37" t="s">
        <v>73</v>
      </c>
      <c r="C37" t="s">
        <v>196</v>
      </c>
      <c r="D37" s="21">
        <f>D36+28</f>
        <v>41699</v>
      </c>
      <c r="E37">
        <v>27</v>
      </c>
      <c r="F37" s="12" t="s">
        <v>124</v>
      </c>
      <c r="G37" s="21">
        <f>D37+31</f>
        <v>41730</v>
      </c>
      <c r="H37" s="21">
        <f>D37-28</f>
        <v>41671</v>
      </c>
    </row>
    <row r="38" spans="2:8" x14ac:dyDescent="0.35">
      <c r="B38" t="s">
        <v>73</v>
      </c>
      <c r="C38" t="s">
        <v>196</v>
      </c>
      <c r="D38" s="21">
        <f>D37+31</f>
        <v>41730</v>
      </c>
      <c r="E38">
        <v>28</v>
      </c>
      <c r="F38" s="12" t="s">
        <v>125</v>
      </c>
      <c r="G38" s="21">
        <f>D38+30</f>
        <v>41760</v>
      </c>
      <c r="H38" s="21">
        <f>D38-31</f>
        <v>41699</v>
      </c>
    </row>
    <row r="39" spans="2:8" x14ac:dyDescent="0.35">
      <c r="B39" t="s">
        <v>73</v>
      </c>
      <c r="C39" t="s">
        <v>196</v>
      </c>
      <c r="D39" s="21">
        <f>D38+30</f>
        <v>41760</v>
      </c>
      <c r="E39">
        <v>29</v>
      </c>
      <c r="F39" s="12" t="s">
        <v>126</v>
      </c>
      <c r="G39" s="21">
        <f t="shared" ref="G39" si="3">D39+31</f>
        <v>41791</v>
      </c>
      <c r="H39" s="21">
        <f>D39-30</f>
        <v>41730</v>
      </c>
    </row>
    <row r="40" spans="2:8" x14ac:dyDescent="0.35">
      <c r="B40" t="s">
        <v>73</v>
      </c>
      <c r="C40" t="s">
        <v>196</v>
      </c>
      <c r="D40" s="21">
        <f>D39+31</f>
        <v>41791</v>
      </c>
      <c r="E40">
        <v>30</v>
      </c>
      <c r="F40" s="12" t="s">
        <v>127</v>
      </c>
      <c r="G40" s="21">
        <f t="shared" ref="G40" si="4">D40+30</f>
        <v>41821</v>
      </c>
      <c r="H40" s="21">
        <f>D40-31</f>
        <v>41760</v>
      </c>
    </row>
    <row r="41" spans="2:8" x14ac:dyDescent="0.35">
      <c r="B41" t="s">
        <v>73</v>
      </c>
      <c r="C41" t="s">
        <v>196</v>
      </c>
      <c r="D41" s="21">
        <f>D40+30</f>
        <v>41821</v>
      </c>
      <c r="E41">
        <v>31</v>
      </c>
      <c r="F41" s="12" t="s">
        <v>128</v>
      </c>
      <c r="G41" s="21">
        <f t="shared" ref="G41" si="5">D41+31</f>
        <v>41852</v>
      </c>
      <c r="H41" s="21">
        <f>D41-30</f>
        <v>41791</v>
      </c>
    </row>
    <row r="42" spans="2:8" x14ac:dyDescent="0.35">
      <c r="B42" t="s">
        <v>73</v>
      </c>
      <c r="C42" t="s">
        <v>196</v>
      </c>
      <c r="D42" s="21">
        <f>D41+31</f>
        <v>41852</v>
      </c>
      <c r="E42">
        <v>32</v>
      </c>
      <c r="F42" s="12" t="s">
        <v>129</v>
      </c>
      <c r="G42" s="21">
        <f>D42+31</f>
        <v>41883</v>
      </c>
      <c r="H42" s="21">
        <f>D42-31</f>
        <v>41821</v>
      </c>
    </row>
    <row r="43" spans="2:8" x14ac:dyDescent="0.35">
      <c r="B43" t="s">
        <v>73</v>
      </c>
      <c r="C43" t="s">
        <v>196</v>
      </c>
      <c r="D43" s="21">
        <f>D42+31</f>
        <v>41883</v>
      </c>
      <c r="E43">
        <v>33</v>
      </c>
      <c r="F43" s="12" t="s">
        <v>130</v>
      </c>
      <c r="G43" s="21">
        <f>D43+30</f>
        <v>41913</v>
      </c>
      <c r="H43" s="21">
        <f>D43-31</f>
        <v>41852</v>
      </c>
    </row>
    <row r="44" spans="2:8" x14ac:dyDescent="0.35">
      <c r="B44" t="s">
        <v>73</v>
      </c>
      <c r="C44" t="s">
        <v>196</v>
      </c>
      <c r="D44" s="21">
        <f>D43+30</f>
        <v>41913</v>
      </c>
      <c r="E44">
        <v>34</v>
      </c>
      <c r="F44" s="12" t="s">
        <v>131</v>
      </c>
      <c r="G44" s="21">
        <f>D44+31</f>
        <v>41944</v>
      </c>
      <c r="H44" s="21">
        <f>D44-30</f>
        <v>41883</v>
      </c>
    </row>
    <row r="45" spans="2:8" x14ac:dyDescent="0.35">
      <c r="B45" t="s">
        <v>73</v>
      </c>
      <c r="C45" t="s">
        <v>196</v>
      </c>
      <c r="D45" s="21">
        <f>D44+31</f>
        <v>41944</v>
      </c>
      <c r="E45">
        <v>35</v>
      </c>
      <c r="F45" s="12" t="s">
        <v>132</v>
      </c>
      <c r="G45" s="21">
        <f>D45+30</f>
        <v>41974</v>
      </c>
      <c r="H45" s="21">
        <f>D45-31</f>
        <v>41913</v>
      </c>
    </row>
    <row r="46" spans="2:8" x14ac:dyDescent="0.35">
      <c r="B46" t="s">
        <v>73</v>
      </c>
      <c r="C46" t="s">
        <v>196</v>
      </c>
      <c r="D46" s="21">
        <f>D45+30</f>
        <v>41974</v>
      </c>
      <c r="E46">
        <v>36</v>
      </c>
      <c r="F46" s="12" t="s">
        <v>133</v>
      </c>
      <c r="G46" s="21">
        <f>D46+31</f>
        <v>42005</v>
      </c>
      <c r="H46" s="21">
        <f>D46-30</f>
        <v>41944</v>
      </c>
    </row>
    <row r="47" spans="2:8" x14ac:dyDescent="0.35">
      <c r="B47" t="s">
        <v>73</v>
      </c>
      <c r="C47" t="s">
        <v>196</v>
      </c>
      <c r="D47" s="21">
        <f>D46+31</f>
        <v>42005</v>
      </c>
      <c r="E47">
        <v>37</v>
      </c>
      <c r="F47" s="12" t="s">
        <v>134</v>
      </c>
      <c r="G47" s="21">
        <f>D47+31</f>
        <v>42036</v>
      </c>
      <c r="H47" s="21">
        <f>D47-31</f>
        <v>41974</v>
      </c>
    </row>
    <row r="48" spans="2:8" x14ac:dyDescent="0.35">
      <c r="B48" t="s">
        <v>73</v>
      </c>
      <c r="C48" t="s">
        <v>196</v>
      </c>
      <c r="D48" s="21">
        <f>D47+31</f>
        <v>42036</v>
      </c>
      <c r="E48">
        <v>38</v>
      </c>
      <c r="F48" s="12" t="s">
        <v>135</v>
      </c>
      <c r="G48" s="21">
        <f>D48+28</f>
        <v>42064</v>
      </c>
      <c r="H48" s="21">
        <f>D48-31</f>
        <v>42005</v>
      </c>
    </row>
    <row r="49" spans="2:8" x14ac:dyDescent="0.35">
      <c r="B49" t="s">
        <v>73</v>
      </c>
      <c r="C49" t="s">
        <v>196</v>
      </c>
      <c r="D49" s="21">
        <f>D48+28</f>
        <v>42064</v>
      </c>
      <c r="E49">
        <v>39</v>
      </c>
      <c r="F49" s="12" t="s">
        <v>136</v>
      </c>
      <c r="G49" s="21">
        <f>D49+31</f>
        <v>42095</v>
      </c>
      <c r="H49" s="21">
        <f>D49-28</f>
        <v>42036</v>
      </c>
    </row>
    <row r="50" spans="2:8" x14ac:dyDescent="0.35">
      <c r="B50" t="s">
        <v>73</v>
      </c>
      <c r="C50" t="s">
        <v>196</v>
      </c>
      <c r="D50" s="21">
        <f>D49+31</f>
        <v>42095</v>
      </c>
      <c r="E50">
        <v>40</v>
      </c>
      <c r="F50" s="12" t="s">
        <v>137</v>
      </c>
      <c r="G50" s="21">
        <f>D50+30</f>
        <v>42125</v>
      </c>
      <c r="H50" s="21">
        <f>D50-31</f>
        <v>42064</v>
      </c>
    </row>
    <row r="51" spans="2:8" x14ac:dyDescent="0.35">
      <c r="B51" t="s">
        <v>73</v>
      </c>
      <c r="C51" t="s">
        <v>196</v>
      </c>
      <c r="D51" s="21">
        <f>D50+30</f>
        <v>42125</v>
      </c>
      <c r="E51">
        <v>41</v>
      </c>
      <c r="F51" s="12" t="s">
        <v>138</v>
      </c>
      <c r="G51" s="21">
        <f t="shared" ref="G51" si="6">D51+31</f>
        <v>42156</v>
      </c>
      <c r="H51" s="21">
        <f>D51-30</f>
        <v>42095</v>
      </c>
    </row>
    <row r="52" spans="2:8" x14ac:dyDescent="0.35">
      <c r="B52" t="s">
        <v>73</v>
      </c>
      <c r="C52" t="s">
        <v>196</v>
      </c>
      <c r="D52" s="21">
        <f>D51+31</f>
        <v>42156</v>
      </c>
      <c r="E52">
        <v>42</v>
      </c>
      <c r="F52" s="12" t="s">
        <v>139</v>
      </c>
      <c r="G52" s="21">
        <f t="shared" ref="G52" si="7">D52+30</f>
        <v>42186</v>
      </c>
      <c r="H52" s="21">
        <f>D52-31</f>
        <v>42125</v>
      </c>
    </row>
    <row r="53" spans="2:8" x14ac:dyDescent="0.35">
      <c r="B53" t="s">
        <v>73</v>
      </c>
      <c r="C53" t="s">
        <v>196</v>
      </c>
      <c r="D53" s="21">
        <f>D52+30</f>
        <v>42186</v>
      </c>
      <c r="E53">
        <v>43</v>
      </c>
      <c r="F53" s="12" t="s">
        <v>140</v>
      </c>
      <c r="G53" s="21">
        <f t="shared" ref="G53" si="8">D53+31</f>
        <v>42217</v>
      </c>
      <c r="H53" s="21">
        <f>D53-30</f>
        <v>42156</v>
      </c>
    </row>
    <row r="54" spans="2:8" x14ac:dyDescent="0.35">
      <c r="B54" t="s">
        <v>73</v>
      </c>
      <c r="C54" t="s">
        <v>196</v>
      </c>
      <c r="D54" s="21">
        <f>D53+31</f>
        <v>42217</v>
      </c>
      <c r="E54">
        <v>44</v>
      </c>
      <c r="F54" s="12" t="s">
        <v>141</v>
      </c>
      <c r="G54" s="21">
        <f>D54+31</f>
        <v>42248</v>
      </c>
      <c r="H54" s="21">
        <f>D54-31</f>
        <v>42186</v>
      </c>
    </row>
    <row r="55" spans="2:8" x14ac:dyDescent="0.35">
      <c r="B55" t="s">
        <v>73</v>
      </c>
      <c r="C55" t="s">
        <v>196</v>
      </c>
      <c r="D55" s="21">
        <f>D54+31</f>
        <v>42248</v>
      </c>
      <c r="E55">
        <v>45</v>
      </c>
      <c r="F55" s="12" t="s">
        <v>142</v>
      </c>
      <c r="G55" s="21">
        <f>D55+30</f>
        <v>42278</v>
      </c>
      <c r="H55" s="21">
        <f>D55-31</f>
        <v>42217</v>
      </c>
    </row>
    <row r="56" spans="2:8" x14ac:dyDescent="0.35">
      <c r="B56" t="s">
        <v>73</v>
      </c>
      <c r="C56" t="s">
        <v>196</v>
      </c>
      <c r="D56" s="21">
        <f>D55+30</f>
        <v>42278</v>
      </c>
      <c r="E56">
        <v>46</v>
      </c>
      <c r="F56" s="12" t="s">
        <v>143</v>
      </c>
      <c r="G56" s="21">
        <f>D56+31</f>
        <v>42309</v>
      </c>
      <c r="H56" s="21">
        <f>D56-30</f>
        <v>42248</v>
      </c>
    </row>
    <row r="57" spans="2:8" x14ac:dyDescent="0.35">
      <c r="B57" t="s">
        <v>73</v>
      </c>
      <c r="C57" t="s">
        <v>196</v>
      </c>
      <c r="D57" s="21">
        <f>D56+31</f>
        <v>42309</v>
      </c>
      <c r="E57">
        <v>47</v>
      </c>
      <c r="F57" s="12" t="s">
        <v>144</v>
      </c>
      <c r="G57" s="21">
        <f>D57+30</f>
        <v>42339</v>
      </c>
      <c r="H57" s="21">
        <f>D57-31</f>
        <v>42278</v>
      </c>
    </row>
    <row r="58" spans="2:8" x14ac:dyDescent="0.35">
      <c r="B58" t="s">
        <v>73</v>
      </c>
      <c r="C58" t="s">
        <v>196</v>
      </c>
      <c r="D58" s="21">
        <f>D57+30</f>
        <v>42339</v>
      </c>
      <c r="E58">
        <v>48</v>
      </c>
      <c r="F58" s="12" t="s">
        <v>145</v>
      </c>
      <c r="G58" s="21">
        <f>D58+31</f>
        <v>42370</v>
      </c>
      <c r="H58" s="21">
        <f>D58-30</f>
        <v>42309</v>
      </c>
    </row>
    <row r="59" spans="2:8" x14ac:dyDescent="0.35">
      <c r="B59" t="s">
        <v>73</v>
      </c>
      <c r="C59" t="s">
        <v>196</v>
      </c>
      <c r="D59" s="21">
        <f>D58+31</f>
        <v>42370</v>
      </c>
      <c r="E59">
        <v>49</v>
      </c>
      <c r="F59" s="12" t="s">
        <v>146</v>
      </c>
      <c r="G59" s="21">
        <f>D59+31</f>
        <v>42401</v>
      </c>
      <c r="H59" s="21">
        <f>D59-31</f>
        <v>42339</v>
      </c>
    </row>
    <row r="60" spans="2:8" x14ac:dyDescent="0.35">
      <c r="B60" t="s">
        <v>73</v>
      </c>
      <c r="C60" t="s">
        <v>196</v>
      </c>
      <c r="D60" s="21">
        <f>D59+31</f>
        <v>42401</v>
      </c>
      <c r="E60">
        <v>50</v>
      </c>
      <c r="F60" s="12" t="s">
        <v>147</v>
      </c>
      <c r="G60" s="21">
        <f>D60+28</f>
        <v>42429</v>
      </c>
      <c r="H60" s="21">
        <f>D60-31</f>
        <v>42370</v>
      </c>
    </row>
    <row r="61" spans="2:8" x14ac:dyDescent="0.35">
      <c r="B61" t="s">
        <v>73</v>
      </c>
      <c r="C61" t="s">
        <v>196</v>
      </c>
      <c r="D61" s="21">
        <f>D60+29</f>
        <v>42430</v>
      </c>
      <c r="E61">
        <v>51</v>
      </c>
      <c r="F61" s="12" t="s">
        <v>148</v>
      </c>
      <c r="G61" s="21">
        <f>D61+31</f>
        <v>42461</v>
      </c>
      <c r="H61" s="21">
        <f>D61-28</f>
        <v>42402</v>
      </c>
    </row>
    <row r="62" spans="2:8" x14ac:dyDescent="0.35">
      <c r="B62" t="s">
        <v>73</v>
      </c>
      <c r="C62" t="s">
        <v>196</v>
      </c>
      <c r="D62" s="21">
        <f>D61+31</f>
        <v>42461</v>
      </c>
      <c r="E62">
        <v>52</v>
      </c>
      <c r="F62" s="12" t="s">
        <v>149</v>
      </c>
      <c r="G62" s="21">
        <f>D62+30</f>
        <v>42491</v>
      </c>
      <c r="H62" s="21">
        <f>D62-31</f>
        <v>42430</v>
      </c>
    </row>
    <row r="63" spans="2:8" x14ac:dyDescent="0.35">
      <c r="B63" t="s">
        <v>73</v>
      </c>
      <c r="C63" t="s">
        <v>196</v>
      </c>
      <c r="D63" s="21">
        <f>D62+30</f>
        <v>42491</v>
      </c>
      <c r="E63">
        <v>53</v>
      </c>
      <c r="F63" s="12" t="s">
        <v>150</v>
      </c>
      <c r="G63" s="21">
        <f t="shared" ref="G63" si="9">D63+31</f>
        <v>42522</v>
      </c>
      <c r="H63" s="21">
        <f>D63-30</f>
        <v>42461</v>
      </c>
    </row>
    <row r="64" spans="2:8" x14ac:dyDescent="0.35">
      <c r="B64" t="s">
        <v>73</v>
      </c>
      <c r="C64" t="s">
        <v>196</v>
      </c>
      <c r="D64" s="21">
        <f>D63+31</f>
        <v>42522</v>
      </c>
      <c r="E64">
        <v>54</v>
      </c>
      <c r="F64" s="12" t="s">
        <v>151</v>
      </c>
      <c r="G64" s="21">
        <f t="shared" ref="G64" si="10">D64+30</f>
        <v>42552</v>
      </c>
      <c r="H64" s="21">
        <f>D64-31</f>
        <v>42491</v>
      </c>
    </row>
    <row r="65" spans="2:8" x14ac:dyDescent="0.35">
      <c r="B65" t="s">
        <v>73</v>
      </c>
      <c r="C65" t="s">
        <v>196</v>
      </c>
      <c r="D65" s="21">
        <f>D64+30</f>
        <v>42552</v>
      </c>
      <c r="E65">
        <v>55</v>
      </c>
      <c r="F65" s="12" t="s">
        <v>152</v>
      </c>
      <c r="G65" s="21">
        <f t="shared" ref="G65" si="11">D65+31</f>
        <v>42583</v>
      </c>
      <c r="H65" s="21">
        <f>D65-30</f>
        <v>42522</v>
      </c>
    </row>
    <row r="66" spans="2:8" x14ac:dyDescent="0.35">
      <c r="B66" t="s">
        <v>73</v>
      </c>
      <c r="C66" t="s">
        <v>196</v>
      </c>
      <c r="D66" s="21">
        <f>D65+31</f>
        <v>42583</v>
      </c>
      <c r="E66">
        <v>56</v>
      </c>
      <c r="F66" s="12" t="s">
        <v>153</v>
      </c>
      <c r="G66" s="21">
        <f>D66+31</f>
        <v>42614</v>
      </c>
      <c r="H66" s="21">
        <f>D66-31</f>
        <v>42552</v>
      </c>
    </row>
    <row r="67" spans="2:8" x14ac:dyDescent="0.35">
      <c r="B67" t="s">
        <v>73</v>
      </c>
      <c r="C67" t="s">
        <v>196</v>
      </c>
      <c r="D67" s="21">
        <f>D66+31</f>
        <v>42614</v>
      </c>
      <c r="E67">
        <v>57</v>
      </c>
      <c r="F67" s="12" t="s">
        <v>154</v>
      </c>
      <c r="G67" s="21">
        <f>D67+30</f>
        <v>42644</v>
      </c>
      <c r="H67" s="21">
        <f>D67-31</f>
        <v>42583</v>
      </c>
    </row>
    <row r="68" spans="2:8" x14ac:dyDescent="0.35">
      <c r="B68" t="s">
        <v>73</v>
      </c>
      <c r="C68" t="s">
        <v>196</v>
      </c>
      <c r="D68" s="21">
        <f>D67+30</f>
        <v>42644</v>
      </c>
      <c r="E68">
        <v>58</v>
      </c>
      <c r="F68" s="12" t="s">
        <v>155</v>
      </c>
      <c r="G68" s="21">
        <f>D68+31</f>
        <v>42675</v>
      </c>
      <c r="H68" s="21">
        <f>D68-30</f>
        <v>42614</v>
      </c>
    </row>
    <row r="69" spans="2:8" x14ac:dyDescent="0.35">
      <c r="B69" t="s">
        <v>73</v>
      </c>
      <c r="C69" t="s">
        <v>196</v>
      </c>
      <c r="D69" s="21">
        <f>D68+31</f>
        <v>42675</v>
      </c>
      <c r="E69">
        <v>59</v>
      </c>
      <c r="F69" s="12" t="s">
        <v>156</v>
      </c>
      <c r="G69" s="21">
        <f>D69+30</f>
        <v>42705</v>
      </c>
      <c r="H69" s="21">
        <f>D69-31</f>
        <v>42644</v>
      </c>
    </row>
    <row r="70" spans="2:8" x14ac:dyDescent="0.35">
      <c r="B70" t="s">
        <v>73</v>
      </c>
      <c r="C70" t="s">
        <v>196</v>
      </c>
      <c r="D70" s="21">
        <f>D69+30</f>
        <v>42705</v>
      </c>
      <c r="E70">
        <v>60</v>
      </c>
      <c r="F70" s="12" t="s">
        <v>157</v>
      </c>
      <c r="G70" s="21">
        <f>D70+31</f>
        <v>42736</v>
      </c>
      <c r="H70" s="21">
        <f>D70-30</f>
        <v>42675</v>
      </c>
    </row>
    <row r="71" spans="2:8" x14ac:dyDescent="0.35">
      <c r="B71" t="s">
        <v>73</v>
      </c>
      <c r="C71" t="s">
        <v>196</v>
      </c>
      <c r="D71" s="21">
        <f>D70+31</f>
        <v>42736</v>
      </c>
      <c r="E71">
        <v>61</v>
      </c>
      <c r="F71" s="12" t="s">
        <v>158</v>
      </c>
      <c r="G71" s="21">
        <f>D71+31</f>
        <v>42767</v>
      </c>
      <c r="H71" s="21">
        <f>D71-31</f>
        <v>42705</v>
      </c>
    </row>
    <row r="72" spans="2:8" x14ac:dyDescent="0.35">
      <c r="B72" t="s">
        <v>73</v>
      </c>
      <c r="C72" t="s">
        <v>196</v>
      </c>
      <c r="D72" s="21">
        <f>D71+31</f>
        <v>42767</v>
      </c>
      <c r="E72">
        <v>62</v>
      </c>
      <c r="F72" s="12" t="s">
        <v>159</v>
      </c>
      <c r="G72" s="21">
        <f>D72+28</f>
        <v>42795</v>
      </c>
      <c r="H72" s="21">
        <f>D72-31</f>
        <v>42736</v>
      </c>
    </row>
    <row r="73" spans="2:8" x14ac:dyDescent="0.35">
      <c r="B73" t="s">
        <v>73</v>
      </c>
      <c r="C73" t="s">
        <v>196</v>
      </c>
      <c r="D73" s="21">
        <f>D72+28</f>
        <v>42795</v>
      </c>
      <c r="E73">
        <v>63</v>
      </c>
      <c r="F73" s="12" t="s">
        <v>160</v>
      </c>
      <c r="G73" s="21">
        <f>D73+31</f>
        <v>42826</v>
      </c>
      <c r="H73" s="21">
        <f>D73-28</f>
        <v>42767</v>
      </c>
    </row>
    <row r="74" spans="2:8" x14ac:dyDescent="0.35">
      <c r="B74" t="s">
        <v>73</v>
      </c>
      <c r="C74" t="s">
        <v>196</v>
      </c>
      <c r="D74" s="21">
        <f>D73+31</f>
        <v>42826</v>
      </c>
      <c r="E74">
        <v>64</v>
      </c>
      <c r="F74" s="12" t="s">
        <v>161</v>
      </c>
      <c r="G74" s="21">
        <f>D74+30</f>
        <v>42856</v>
      </c>
      <c r="H74" s="21">
        <f>D74-31</f>
        <v>42795</v>
      </c>
    </row>
    <row r="75" spans="2:8" x14ac:dyDescent="0.35">
      <c r="B75" t="s">
        <v>73</v>
      </c>
      <c r="C75" t="s">
        <v>196</v>
      </c>
      <c r="D75" s="21">
        <f>D74+30</f>
        <v>42856</v>
      </c>
      <c r="E75">
        <v>65</v>
      </c>
      <c r="F75" s="12" t="s">
        <v>162</v>
      </c>
      <c r="G75" s="21">
        <f t="shared" ref="G75" si="12">D75+31</f>
        <v>42887</v>
      </c>
      <c r="H75" s="21">
        <f>D75-30</f>
        <v>42826</v>
      </c>
    </row>
    <row r="76" spans="2:8" x14ac:dyDescent="0.35">
      <c r="B76" t="s">
        <v>73</v>
      </c>
      <c r="C76" t="s">
        <v>196</v>
      </c>
      <c r="D76" s="21">
        <f>D75+31</f>
        <v>42887</v>
      </c>
      <c r="E76">
        <v>66</v>
      </c>
      <c r="F76" s="12" t="s">
        <v>163</v>
      </c>
      <c r="G76" s="21">
        <f t="shared" ref="G76" si="13">D76+30</f>
        <v>42917</v>
      </c>
      <c r="H76" s="21">
        <f>D76-31</f>
        <v>42856</v>
      </c>
    </row>
    <row r="77" spans="2:8" x14ac:dyDescent="0.35">
      <c r="B77" t="s">
        <v>73</v>
      </c>
      <c r="C77" t="s">
        <v>196</v>
      </c>
      <c r="D77" s="21">
        <f>D76+30</f>
        <v>42917</v>
      </c>
      <c r="E77">
        <v>67</v>
      </c>
      <c r="F77" s="12" t="s">
        <v>164</v>
      </c>
      <c r="G77" s="21">
        <f t="shared" ref="G77" si="14">D77+31</f>
        <v>42948</v>
      </c>
      <c r="H77" s="21">
        <f>D77-30</f>
        <v>42887</v>
      </c>
    </row>
    <row r="78" spans="2:8" x14ac:dyDescent="0.35">
      <c r="B78" t="s">
        <v>73</v>
      </c>
      <c r="C78" t="s">
        <v>196</v>
      </c>
      <c r="D78" s="21">
        <f>D77+31</f>
        <v>42948</v>
      </c>
      <c r="E78">
        <v>68</v>
      </c>
      <c r="F78" s="12" t="s">
        <v>165</v>
      </c>
      <c r="G78" s="21">
        <f>D78+31</f>
        <v>42979</v>
      </c>
      <c r="H78" s="21">
        <f>D78-31</f>
        <v>42917</v>
      </c>
    </row>
    <row r="79" spans="2:8" x14ac:dyDescent="0.35">
      <c r="B79" t="s">
        <v>73</v>
      </c>
      <c r="C79" t="s">
        <v>196</v>
      </c>
      <c r="D79" s="21">
        <f>D78+31</f>
        <v>42979</v>
      </c>
      <c r="E79">
        <v>69</v>
      </c>
      <c r="F79" s="12" t="s">
        <v>166</v>
      </c>
      <c r="G79" s="21">
        <f>D79+30</f>
        <v>43009</v>
      </c>
      <c r="H79" s="21">
        <f>D79-31</f>
        <v>42948</v>
      </c>
    </row>
    <row r="80" spans="2:8" x14ac:dyDescent="0.35">
      <c r="B80" t="s">
        <v>73</v>
      </c>
      <c r="C80" t="s">
        <v>196</v>
      </c>
      <c r="D80" s="21">
        <f>D79+30</f>
        <v>43009</v>
      </c>
      <c r="E80">
        <v>70</v>
      </c>
      <c r="F80" s="12" t="s">
        <v>167</v>
      </c>
      <c r="G80" s="21">
        <f>D80+31</f>
        <v>43040</v>
      </c>
      <c r="H80" s="21">
        <f>D80-30</f>
        <v>42979</v>
      </c>
    </row>
    <row r="81" spans="2:8" x14ac:dyDescent="0.35">
      <c r="B81" t="s">
        <v>73</v>
      </c>
      <c r="C81" t="s">
        <v>196</v>
      </c>
      <c r="D81" s="21">
        <f>D80+31</f>
        <v>43040</v>
      </c>
      <c r="E81">
        <v>71</v>
      </c>
      <c r="F81" s="12" t="s">
        <v>168</v>
      </c>
      <c r="G81" s="21">
        <f>D81+30</f>
        <v>43070</v>
      </c>
      <c r="H81" s="21">
        <f>D81-31</f>
        <v>43009</v>
      </c>
    </row>
    <row r="82" spans="2:8" x14ac:dyDescent="0.35">
      <c r="B82" t="s">
        <v>73</v>
      </c>
      <c r="C82" t="s">
        <v>196</v>
      </c>
      <c r="D82" s="21">
        <f>D81+30</f>
        <v>43070</v>
      </c>
      <c r="E82">
        <v>72</v>
      </c>
      <c r="F82" s="12" t="s">
        <v>169</v>
      </c>
      <c r="G82" s="21">
        <f>D82+31</f>
        <v>43101</v>
      </c>
      <c r="H82" s="21">
        <f>D82-30</f>
        <v>43040</v>
      </c>
    </row>
    <row r="83" spans="2:8" x14ac:dyDescent="0.35">
      <c r="B83" t="s">
        <v>73</v>
      </c>
      <c r="C83" t="s">
        <v>196</v>
      </c>
      <c r="D83" s="21">
        <f>D82+31</f>
        <v>43101</v>
      </c>
      <c r="E83">
        <v>73</v>
      </c>
      <c r="F83" s="12" t="s">
        <v>170</v>
      </c>
      <c r="G83" s="21">
        <f>D83+31</f>
        <v>43132</v>
      </c>
      <c r="H83" s="21">
        <f>D83-31</f>
        <v>43070</v>
      </c>
    </row>
    <row r="84" spans="2:8" x14ac:dyDescent="0.35">
      <c r="B84" t="s">
        <v>73</v>
      </c>
      <c r="C84" t="s">
        <v>196</v>
      </c>
      <c r="D84" s="21">
        <f>D83+31</f>
        <v>43132</v>
      </c>
      <c r="E84">
        <v>74</v>
      </c>
      <c r="F84" s="12" t="s">
        <v>171</v>
      </c>
      <c r="G84" s="21">
        <f>D84+28</f>
        <v>43160</v>
      </c>
      <c r="H84" s="21">
        <f>D84-31</f>
        <v>43101</v>
      </c>
    </row>
    <row r="85" spans="2:8" x14ac:dyDescent="0.35">
      <c r="B85" t="s">
        <v>73</v>
      </c>
      <c r="C85" t="s">
        <v>196</v>
      </c>
      <c r="D85" s="21">
        <f>D84+28</f>
        <v>43160</v>
      </c>
      <c r="E85">
        <v>75</v>
      </c>
      <c r="F85" s="12" t="s">
        <v>172</v>
      </c>
      <c r="G85" s="21">
        <f>D85+31</f>
        <v>43191</v>
      </c>
      <c r="H85" s="21">
        <f>D85-28</f>
        <v>43132</v>
      </c>
    </row>
    <row r="86" spans="2:8" x14ac:dyDescent="0.35">
      <c r="B86" t="s">
        <v>73</v>
      </c>
      <c r="C86" t="s">
        <v>196</v>
      </c>
      <c r="D86" s="21">
        <f>D85+31</f>
        <v>43191</v>
      </c>
      <c r="E86">
        <v>76</v>
      </c>
      <c r="F86" s="12" t="s">
        <v>173</v>
      </c>
      <c r="G86" s="21">
        <f>D86+30</f>
        <v>43221</v>
      </c>
      <c r="H86" s="21">
        <f>D86-31</f>
        <v>43160</v>
      </c>
    </row>
    <row r="87" spans="2:8" x14ac:dyDescent="0.35">
      <c r="B87" t="s">
        <v>73</v>
      </c>
      <c r="C87" t="s">
        <v>196</v>
      </c>
      <c r="D87" s="21">
        <f>D86+30</f>
        <v>43221</v>
      </c>
      <c r="E87">
        <v>77</v>
      </c>
      <c r="F87" s="12" t="s">
        <v>174</v>
      </c>
      <c r="G87" s="21">
        <f t="shared" ref="G87" si="15">D87+31</f>
        <v>43252</v>
      </c>
      <c r="H87" s="21">
        <f>D87-30</f>
        <v>43191</v>
      </c>
    </row>
    <row r="88" spans="2:8" x14ac:dyDescent="0.35">
      <c r="B88" t="s">
        <v>73</v>
      </c>
      <c r="C88" t="s">
        <v>196</v>
      </c>
      <c r="D88" s="21">
        <f>D87+31</f>
        <v>43252</v>
      </c>
      <c r="E88">
        <v>78</v>
      </c>
      <c r="F88" s="12" t="s">
        <v>175</v>
      </c>
      <c r="G88" s="21">
        <f t="shared" ref="G88" si="16">D88+30</f>
        <v>43282</v>
      </c>
      <c r="H88" s="21">
        <f>D88-31</f>
        <v>43221</v>
      </c>
    </row>
    <row r="89" spans="2:8" x14ac:dyDescent="0.35">
      <c r="B89" t="s">
        <v>73</v>
      </c>
      <c r="C89" t="s">
        <v>196</v>
      </c>
      <c r="D89" s="21">
        <f>D88+30</f>
        <v>43282</v>
      </c>
      <c r="E89">
        <v>79</v>
      </c>
      <c r="F89" s="12" t="s">
        <v>176</v>
      </c>
      <c r="G89" s="21">
        <f t="shared" ref="G89" si="17">D89+31</f>
        <v>43313</v>
      </c>
      <c r="H89" s="21">
        <f>D89-30</f>
        <v>43252</v>
      </c>
    </row>
    <row r="90" spans="2:8" x14ac:dyDescent="0.35">
      <c r="B90" t="s">
        <v>73</v>
      </c>
      <c r="C90" t="s">
        <v>196</v>
      </c>
      <c r="D90" s="21">
        <f>D89+31</f>
        <v>43313</v>
      </c>
      <c r="E90">
        <v>80</v>
      </c>
      <c r="F90" s="12" t="s">
        <v>177</v>
      </c>
      <c r="G90" s="21">
        <f>D90+31</f>
        <v>43344</v>
      </c>
      <c r="H90" s="21">
        <f>D90-31</f>
        <v>43282</v>
      </c>
    </row>
    <row r="91" spans="2:8" x14ac:dyDescent="0.35">
      <c r="B91" t="s">
        <v>73</v>
      </c>
      <c r="C91" t="s">
        <v>196</v>
      </c>
      <c r="D91" s="21">
        <f>D90+31</f>
        <v>43344</v>
      </c>
      <c r="E91">
        <v>81</v>
      </c>
      <c r="F91" s="12" t="s">
        <v>178</v>
      </c>
      <c r="G91" s="21">
        <f>D91+30</f>
        <v>43374</v>
      </c>
      <c r="H91" s="21">
        <f>D91-31</f>
        <v>43313</v>
      </c>
    </row>
    <row r="92" spans="2:8" x14ac:dyDescent="0.35">
      <c r="B92" t="s">
        <v>73</v>
      </c>
      <c r="C92" t="s">
        <v>196</v>
      </c>
      <c r="D92" s="21">
        <f>D91+30</f>
        <v>43374</v>
      </c>
      <c r="E92">
        <v>82</v>
      </c>
      <c r="F92" s="12" t="s">
        <v>179</v>
      </c>
      <c r="G92" s="21">
        <f t="shared" ref="G92:G104" si="18">D92+31</f>
        <v>43405</v>
      </c>
      <c r="H92" s="21">
        <f>D92-30</f>
        <v>43344</v>
      </c>
    </row>
    <row r="93" spans="2:8" x14ac:dyDescent="0.35">
      <c r="B93" t="s">
        <v>73</v>
      </c>
      <c r="C93" t="s">
        <v>196</v>
      </c>
      <c r="D93" s="21">
        <f>D92+31</f>
        <v>43405</v>
      </c>
      <c r="E93">
        <v>83</v>
      </c>
      <c r="F93" s="12" t="s">
        <v>180</v>
      </c>
      <c r="G93" s="21">
        <f>D93+30</f>
        <v>43435</v>
      </c>
      <c r="H93" s="21">
        <f>D93-31</f>
        <v>43374</v>
      </c>
    </row>
    <row r="94" spans="2:8" x14ac:dyDescent="0.35">
      <c r="B94" t="s">
        <v>73</v>
      </c>
      <c r="C94" t="s">
        <v>196</v>
      </c>
      <c r="D94" s="21">
        <f>D93+30</f>
        <v>43435</v>
      </c>
      <c r="E94">
        <v>84</v>
      </c>
      <c r="F94" s="12" t="s">
        <v>181</v>
      </c>
      <c r="G94" s="21">
        <f t="shared" si="18"/>
        <v>43466</v>
      </c>
      <c r="H94" s="21">
        <f t="shared" ref="H94:H105" si="19">D94-31</f>
        <v>43404</v>
      </c>
    </row>
    <row r="95" spans="2:8" x14ac:dyDescent="0.35">
      <c r="B95" t="s">
        <v>73</v>
      </c>
      <c r="C95" t="s">
        <v>196</v>
      </c>
      <c r="D95" s="21">
        <f t="shared" ref="D95:D100" si="20">D94+31</f>
        <v>43466</v>
      </c>
      <c r="E95">
        <v>85</v>
      </c>
      <c r="F95" s="12" t="s">
        <v>182</v>
      </c>
      <c r="G95" s="21">
        <f t="shared" si="18"/>
        <v>43497</v>
      </c>
      <c r="H95" s="21">
        <f t="shared" si="19"/>
        <v>43435</v>
      </c>
    </row>
    <row r="96" spans="2:8" x14ac:dyDescent="0.35">
      <c r="B96" t="s">
        <v>73</v>
      </c>
      <c r="C96" t="s">
        <v>196</v>
      </c>
      <c r="D96" s="21">
        <f t="shared" si="20"/>
        <v>43497</v>
      </c>
      <c r="E96">
        <v>86</v>
      </c>
      <c r="F96" s="12" t="s">
        <v>183</v>
      </c>
      <c r="G96" s="21">
        <f>D96+28</f>
        <v>43525</v>
      </c>
      <c r="H96" s="21">
        <f t="shared" si="19"/>
        <v>43466</v>
      </c>
    </row>
    <row r="97" spans="2:8" x14ac:dyDescent="0.35">
      <c r="B97" t="s">
        <v>73</v>
      </c>
      <c r="C97" t="s">
        <v>196</v>
      </c>
      <c r="D97" s="21">
        <f>D96+28</f>
        <v>43525</v>
      </c>
      <c r="E97">
        <v>87</v>
      </c>
      <c r="F97" s="12" t="s">
        <v>184</v>
      </c>
      <c r="G97" s="21">
        <f t="shared" si="18"/>
        <v>43556</v>
      </c>
      <c r="H97" s="21">
        <f t="shared" si="19"/>
        <v>43494</v>
      </c>
    </row>
    <row r="98" spans="2:8" x14ac:dyDescent="0.35">
      <c r="B98" t="s">
        <v>73</v>
      </c>
      <c r="C98" t="s">
        <v>196</v>
      </c>
      <c r="D98" s="21">
        <f t="shared" si="20"/>
        <v>43556</v>
      </c>
      <c r="E98">
        <v>88</v>
      </c>
      <c r="F98" s="12" t="s">
        <v>185</v>
      </c>
      <c r="G98" s="21">
        <f>D98+30</f>
        <v>43586</v>
      </c>
      <c r="H98" s="21">
        <f t="shared" si="19"/>
        <v>43525</v>
      </c>
    </row>
    <row r="99" spans="2:8" x14ac:dyDescent="0.35">
      <c r="B99" t="s">
        <v>73</v>
      </c>
      <c r="C99" t="s">
        <v>196</v>
      </c>
      <c r="D99" s="21">
        <f>D98+30</f>
        <v>43586</v>
      </c>
      <c r="E99">
        <v>89</v>
      </c>
      <c r="F99" s="12" t="s">
        <v>186</v>
      </c>
      <c r="G99" s="21">
        <f t="shared" si="18"/>
        <v>43617</v>
      </c>
      <c r="H99" s="21">
        <f t="shared" si="19"/>
        <v>43555</v>
      </c>
    </row>
    <row r="100" spans="2:8" x14ac:dyDescent="0.35">
      <c r="B100" t="s">
        <v>73</v>
      </c>
      <c r="C100" t="s">
        <v>196</v>
      </c>
      <c r="D100" s="21">
        <f t="shared" si="20"/>
        <v>43617</v>
      </c>
      <c r="E100">
        <v>90</v>
      </c>
      <c r="F100" s="12" t="s">
        <v>187</v>
      </c>
      <c r="G100" s="21">
        <f>D100+30</f>
        <v>43647</v>
      </c>
      <c r="H100" s="21">
        <f t="shared" si="19"/>
        <v>43586</v>
      </c>
    </row>
    <row r="101" spans="2:8" x14ac:dyDescent="0.35">
      <c r="B101" t="s">
        <v>73</v>
      </c>
      <c r="C101" t="s">
        <v>196</v>
      </c>
      <c r="D101" s="21">
        <f>D100+30</f>
        <v>43647</v>
      </c>
      <c r="E101">
        <v>91</v>
      </c>
      <c r="F101" s="12" t="s">
        <v>188</v>
      </c>
      <c r="G101" s="21">
        <f t="shared" si="18"/>
        <v>43678</v>
      </c>
      <c r="H101" s="21">
        <f t="shared" si="19"/>
        <v>43616</v>
      </c>
    </row>
    <row r="102" spans="2:8" x14ac:dyDescent="0.35">
      <c r="B102" t="s">
        <v>73</v>
      </c>
      <c r="C102" t="s">
        <v>196</v>
      </c>
      <c r="D102" s="21">
        <f t="shared" ref="D102:D105" si="21">D101+31</f>
        <v>43678</v>
      </c>
      <c r="E102">
        <v>92</v>
      </c>
      <c r="F102" s="12" t="s">
        <v>189</v>
      </c>
      <c r="G102" s="21">
        <f t="shared" si="18"/>
        <v>43709</v>
      </c>
      <c r="H102" s="21">
        <f t="shared" si="19"/>
        <v>43647</v>
      </c>
    </row>
    <row r="103" spans="2:8" x14ac:dyDescent="0.35">
      <c r="B103" t="s">
        <v>73</v>
      </c>
      <c r="C103" t="s">
        <v>196</v>
      </c>
      <c r="D103" s="21">
        <f t="shared" si="21"/>
        <v>43709</v>
      </c>
      <c r="E103">
        <v>93</v>
      </c>
      <c r="F103" s="12" t="s">
        <v>190</v>
      </c>
      <c r="G103" s="21">
        <f>D103+30</f>
        <v>43739</v>
      </c>
      <c r="H103" s="21">
        <f t="shared" si="19"/>
        <v>43678</v>
      </c>
    </row>
    <row r="104" spans="2:8" x14ac:dyDescent="0.35">
      <c r="B104" t="s">
        <v>73</v>
      </c>
      <c r="C104" t="s">
        <v>196</v>
      </c>
      <c r="D104" s="21">
        <f>D103+30</f>
        <v>43739</v>
      </c>
      <c r="E104">
        <v>94</v>
      </c>
      <c r="F104" s="12" t="s">
        <v>191</v>
      </c>
      <c r="G104" s="21">
        <f t="shared" si="18"/>
        <v>43770</v>
      </c>
      <c r="H104" s="21">
        <f t="shared" si="19"/>
        <v>43708</v>
      </c>
    </row>
    <row r="105" spans="2:8" x14ac:dyDescent="0.35">
      <c r="B105" t="s">
        <v>73</v>
      </c>
      <c r="C105" t="s">
        <v>196</v>
      </c>
      <c r="D105" s="21">
        <f t="shared" si="21"/>
        <v>43770</v>
      </c>
      <c r="E105">
        <v>95</v>
      </c>
      <c r="F105" s="12" t="s">
        <v>192</v>
      </c>
      <c r="G105" s="21">
        <f>D105+30</f>
        <v>43800</v>
      </c>
      <c r="H105" s="21">
        <f t="shared" si="19"/>
        <v>43739</v>
      </c>
    </row>
    <row r="106" spans="2:8" x14ac:dyDescent="0.35">
      <c r="B106" t="s">
        <v>200</v>
      </c>
      <c r="C106" t="s">
        <v>196</v>
      </c>
      <c r="D106" s="21">
        <v>42736</v>
      </c>
      <c r="E106">
        <v>1</v>
      </c>
      <c r="F106" s="12" t="s">
        <v>158</v>
      </c>
      <c r="G106" s="21">
        <f>D106+31</f>
        <v>42767</v>
      </c>
      <c r="H106" s="21">
        <f>D106-31</f>
        <v>42705</v>
      </c>
    </row>
    <row r="107" spans="2:8" x14ac:dyDescent="0.35">
      <c r="B107" t="s">
        <v>200</v>
      </c>
      <c r="C107" t="s">
        <v>196</v>
      </c>
      <c r="D107" s="21">
        <f>D106+31</f>
        <v>42767</v>
      </c>
      <c r="E107">
        <v>2</v>
      </c>
      <c r="F107" s="12" t="s">
        <v>159</v>
      </c>
      <c r="G107" s="21">
        <f>D107+28</f>
        <v>42795</v>
      </c>
      <c r="H107" s="21">
        <f>D107-31</f>
        <v>42736</v>
      </c>
    </row>
    <row r="108" spans="2:8" x14ac:dyDescent="0.35">
      <c r="B108" t="s">
        <v>200</v>
      </c>
      <c r="C108" t="s">
        <v>196</v>
      </c>
      <c r="D108" s="21">
        <f>D107+28</f>
        <v>42795</v>
      </c>
      <c r="E108">
        <v>3</v>
      </c>
      <c r="F108" s="12" t="s">
        <v>160</v>
      </c>
      <c r="G108" s="21">
        <f>D108+31</f>
        <v>42826</v>
      </c>
      <c r="H108" s="21">
        <f>D108-28</f>
        <v>42767</v>
      </c>
    </row>
    <row r="109" spans="2:8" x14ac:dyDescent="0.35">
      <c r="B109" t="s">
        <v>200</v>
      </c>
      <c r="C109" t="s">
        <v>196</v>
      </c>
      <c r="D109" s="21">
        <f>D108+31</f>
        <v>42826</v>
      </c>
      <c r="E109">
        <v>4</v>
      </c>
      <c r="F109" s="12" t="s">
        <v>161</v>
      </c>
      <c r="G109" s="21">
        <f>D109+30</f>
        <v>42856</v>
      </c>
      <c r="H109" s="21">
        <f>D109-31</f>
        <v>42795</v>
      </c>
    </row>
    <row r="110" spans="2:8" x14ac:dyDescent="0.35">
      <c r="B110" t="s">
        <v>200</v>
      </c>
      <c r="C110" t="s">
        <v>196</v>
      </c>
      <c r="D110" s="21">
        <f>D109+30</f>
        <v>42856</v>
      </c>
      <c r="E110">
        <v>5</v>
      </c>
      <c r="F110" s="12" t="s">
        <v>162</v>
      </c>
      <c r="G110" s="21">
        <f t="shared" ref="G110" si="22">D110+31</f>
        <v>42887</v>
      </c>
      <c r="H110" s="21">
        <f>D110-30</f>
        <v>42826</v>
      </c>
    </row>
    <row r="111" spans="2:8" x14ac:dyDescent="0.35">
      <c r="B111" t="s">
        <v>200</v>
      </c>
      <c r="C111" t="s">
        <v>196</v>
      </c>
      <c r="D111" s="21">
        <f>D110+31</f>
        <v>42887</v>
      </c>
      <c r="E111">
        <v>6</v>
      </c>
      <c r="F111" s="12" t="s">
        <v>163</v>
      </c>
      <c r="G111" s="21">
        <f t="shared" ref="G111" si="23">D111+30</f>
        <v>42917</v>
      </c>
      <c r="H111" s="21">
        <f>D111-31</f>
        <v>42856</v>
      </c>
    </row>
    <row r="112" spans="2:8" x14ac:dyDescent="0.35">
      <c r="B112" t="s">
        <v>200</v>
      </c>
      <c r="C112" t="s">
        <v>196</v>
      </c>
      <c r="D112" s="21">
        <f>D111+30</f>
        <v>42917</v>
      </c>
      <c r="E112">
        <v>7</v>
      </c>
      <c r="F112" s="12" t="s">
        <v>164</v>
      </c>
      <c r="G112" s="21">
        <f t="shared" ref="G112" si="24">D112+31</f>
        <v>42948</v>
      </c>
      <c r="H112" s="21">
        <f>D112-30</f>
        <v>42887</v>
      </c>
    </row>
    <row r="113" spans="2:8" x14ac:dyDescent="0.35">
      <c r="B113" t="s">
        <v>200</v>
      </c>
      <c r="C113" t="s">
        <v>196</v>
      </c>
      <c r="D113" s="21">
        <f>D112+31</f>
        <v>42948</v>
      </c>
      <c r="E113">
        <v>8</v>
      </c>
      <c r="F113" s="12" t="s">
        <v>165</v>
      </c>
      <c r="G113" s="21">
        <f>D113+31</f>
        <v>42979</v>
      </c>
      <c r="H113" s="21">
        <f>D113-31</f>
        <v>42917</v>
      </c>
    </row>
    <row r="114" spans="2:8" x14ac:dyDescent="0.35">
      <c r="B114" t="s">
        <v>200</v>
      </c>
      <c r="C114" t="s">
        <v>196</v>
      </c>
      <c r="D114" s="21">
        <f>D113+31</f>
        <v>42979</v>
      </c>
      <c r="E114">
        <v>9</v>
      </c>
      <c r="F114" s="12" t="s">
        <v>166</v>
      </c>
      <c r="G114" s="21">
        <f>D114+30</f>
        <v>43009</v>
      </c>
      <c r="H114" s="21">
        <f>D114-31</f>
        <v>42948</v>
      </c>
    </row>
    <row r="115" spans="2:8" x14ac:dyDescent="0.35">
      <c r="B115" t="s">
        <v>200</v>
      </c>
      <c r="C115" t="s">
        <v>196</v>
      </c>
      <c r="D115" s="21">
        <f>D114+30</f>
        <v>43009</v>
      </c>
      <c r="E115">
        <v>10</v>
      </c>
      <c r="F115" s="12" t="s">
        <v>167</v>
      </c>
      <c r="G115" s="21">
        <f>D115+31</f>
        <v>43040</v>
      </c>
      <c r="H115" s="21">
        <f>D115-30</f>
        <v>42979</v>
      </c>
    </row>
    <row r="116" spans="2:8" x14ac:dyDescent="0.35">
      <c r="B116" t="s">
        <v>200</v>
      </c>
      <c r="C116" t="s">
        <v>196</v>
      </c>
      <c r="D116" s="21">
        <f>D115+31</f>
        <v>43040</v>
      </c>
      <c r="E116">
        <v>11</v>
      </c>
      <c r="F116" s="12" t="s">
        <v>168</v>
      </c>
      <c r="G116" s="21">
        <f>D116+30</f>
        <v>43070</v>
      </c>
      <c r="H116" s="21">
        <f>D116-31</f>
        <v>43009</v>
      </c>
    </row>
    <row r="117" spans="2:8" x14ac:dyDescent="0.35">
      <c r="B117" t="s">
        <v>200</v>
      </c>
      <c r="C117" t="s">
        <v>196</v>
      </c>
      <c r="D117" s="21">
        <f>D116+30</f>
        <v>43070</v>
      </c>
      <c r="E117">
        <v>12</v>
      </c>
      <c r="F117" s="12" t="s">
        <v>169</v>
      </c>
      <c r="G117" s="21">
        <f>D117+31</f>
        <v>43101</v>
      </c>
      <c r="H117" s="21">
        <f>D117-30</f>
        <v>43040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 and CSV Generation</vt:lpstr>
      <vt:lpstr>Calendar_</vt:lpstr>
      <vt:lpstr>CalendarShifts_</vt:lpstr>
      <vt:lpstr>CalendarException_</vt:lpstr>
      <vt:lpstr>CalendarWeekStartDay_</vt:lpstr>
      <vt:lpstr>CalendarWorkdayPatterns_</vt:lpstr>
      <vt:lpstr>CalendarPeriodStartDates_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Barbara Mise</dc:creator>
  <cp:lastModifiedBy>Padmasri Kappagantu</cp:lastModifiedBy>
  <dcterms:created xsi:type="dcterms:W3CDTF">2011-11-21T17:24:41Z</dcterms:created>
  <dcterms:modified xsi:type="dcterms:W3CDTF">2020-05-20T06:38:53Z</dcterms:modified>
</cp:coreProperties>
</file>